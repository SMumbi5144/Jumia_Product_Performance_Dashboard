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rrison\Downloads\"/>
    </mc:Choice>
  </mc:AlternateContent>
  <xr:revisionPtr revIDLastSave="0" documentId="8_{63324ACA-F0F3-414D-83CB-44F594678682}" xr6:coauthVersionLast="47" xr6:coauthVersionMax="47" xr10:uidLastSave="{00000000-0000-0000-0000-000000000000}"/>
  <bookViews>
    <workbookView xWindow="-120" yWindow="-120" windowWidth="20730" windowHeight="11160" activeTab="3" xr2:uid="{C106187F-F7FF-4FAF-AD06-D0E713246CD9}"/>
  </bookViews>
  <sheets>
    <sheet name="Raw_data" sheetId="2" r:id="rId1"/>
    <sheet name="Cleaned_data" sheetId="1" r:id="rId2"/>
    <sheet name="Analysis" sheetId="3" r:id="rId3"/>
    <sheet name="Data Dictionary" sheetId="18" r:id="rId4"/>
    <sheet name="Rating mix" sheetId="4" r:id="rId5"/>
    <sheet name="Discount mix" sheetId="5" r:id="rId6"/>
    <sheet name="Price vs Rating" sheetId="6" r:id="rId7"/>
    <sheet name="Customer Engagement by discount" sheetId="7" r:id="rId8"/>
    <sheet name="Top 10 Products by Rating" sheetId="8" r:id="rId9"/>
    <sheet name="Bottom 10 Products by Rating" sheetId="9" r:id="rId10"/>
    <sheet name="Top 10 Products by Reviews" sheetId="11" r:id="rId11"/>
    <sheet name="Top 10 by Products by Discount" sheetId="12" r:id="rId12"/>
    <sheet name="High Discounts+Low Ratings" sheetId="13" r:id="rId13"/>
    <sheet name="High Discounts + Low Engagement" sheetId="14" r:id="rId14"/>
    <sheet name="Many reviews + Avg Rating" sheetId="15" r:id="rId15"/>
    <sheet name="Dashboard" sheetId="16" r:id="rId16"/>
    <sheet name="Strong Eng + Excellent Rating" sheetId="17" r:id="rId17"/>
  </sheets>
  <definedNames>
    <definedName name="_xlnm._FilterDatabase" localSheetId="1" hidden="1">Cleaned_data!$A$1:$K$113</definedName>
    <definedName name="ExternalData_1" localSheetId="0" hidden="1">Raw_data!$A$1:$F$116</definedName>
    <definedName name="Price_Q1">Analysis!$A$1</definedName>
    <definedName name="Price_Q3">Analysis!$A$2</definedName>
    <definedName name="Review_Q1">Analysis!$A$3</definedName>
    <definedName name="Review_Q3">Analysis!$A$4</definedName>
    <definedName name="Slicer_Discount_Category">#N/A</definedName>
    <definedName name="Slicer_Price_Category">#N/A</definedName>
    <definedName name="Slicer_Rating_Category">#N/A</definedName>
  </definedNames>
  <calcPr calcId="191029"/>
  <pivotCaches>
    <pivotCache cacheId="23"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3" l="1" a="1"/>
  <c r="J2" i="3" s="1"/>
  <c r="I2" i="3" a="1"/>
  <c r="I2" i="3" s="1"/>
  <c r="O2" i="3" s="1"/>
  <c r="G2" i="3" a="1"/>
  <c r="G2" i="3" s="1"/>
  <c r="F2" i="3" a="1"/>
  <c r="F2" i="3" s="1"/>
  <c r="O3" i="3" s="1"/>
  <c r="C14" i="3"/>
  <c r="B13" i="3"/>
  <c r="B12" i="3"/>
  <c r="B11" i="3"/>
  <c r="B8" i="3"/>
  <c r="B9" i="3"/>
  <c r="S5" i="1"/>
  <c r="S9" i="1"/>
  <c r="S10" i="1"/>
  <c r="S13" i="1"/>
  <c r="S16" i="1"/>
  <c r="S22" i="1"/>
  <c r="S23" i="1"/>
  <c r="S25" i="1"/>
  <c r="S28" i="1"/>
  <c r="S30" i="1"/>
  <c r="S31" i="1"/>
  <c r="S32" i="1"/>
  <c r="S38" i="1"/>
  <c r="S39" i="1"/>
  <c r="S40" i="1"/>
  <c r="S41" i="1"/>
  <c r="S42" i="1"/>
  <c r="S43" i="1"/>
  <c r="S44" i="1"/>
  <c r="S46" i="1"/>
  <c r="S49" i="1"/>
  <c r="S50" i="1"/>
  <c r="S51" i="1"/>
  <c r="S52" i="1"/>
  <c r="S54" i="1"/>
  <c r="S55" i="1"/>
  <c r="S57" i="1"/>
  <c r="S66" i="1"/>
  <c r="S68" i="1"/>
  <c r="S69" i="1"/>
  <c r="S71" i="1"/>
  <c r="S72" i="1"/>
  <c r="S73" i="1"/>
  <c r="S74" i="1"/>
  <c r="S75" i="1"/>
  <c r="S76" i="1"/>
  <c r="S77" i="1"/>
  <c r="S78" i="1"/>
  <c r="S79" i="1"/>
  <c r="S82" i="1"/>
  <c r="S85" i="1"/>
  <c r="S86" i="1"/>
  <c r="S91" i="1"/>
  <c r="S98" i="1"/>
  <c r="S99" i="1"/>
  <c r="S100" i="1"/>
  <c r="S101" i="1"/>
  <c r="S102" i="1"/>
  <c r="S103" i="1"/>
  <c r="S104" i="1"/>
  <c r="S105" i="1"/>
  <c r="S106" i="1"/>
  <c r="S109" i="1"/>
  <c r="S111" i="1"/>
  <c r="S112" i="1"/>
  <c r="R5" i="1"/>
  <c r="R9" i="1"/>
  <c r="R10" i="1"/>
  <c r="R13" i="1"/>
  <c r="R16" i="1"/>
  <c r="R22" i="1"/>
  <c r="R23" i="1"/>
  <c r="R25" i="1"/>
  <c r="R28" i="1"/>
  <c r="R30" i="1"/>
  <c r="R31" i="1"/>
  <c r="R32" i="1"/>
  <c r="R38" i="1"/>
  <c r="R39" i="1"/>
  <c r="R40" i="1"/>
  <c r="R41" i="1"/>
  <c r="R42" i="1"/>
  <c r="R43" i="1"/>
  <c r="R44" i="1"/>
  <c r="R46" i="1"/>
  <c r="R49" i="1"/>
  <c r="R50" i="1"/>
  <c r="R51" i="1"/>
  <c r="R52" i="1"/>
  <c r="R54" i="1"/>
  <c r="R55" i="1"/>
  <c r="R57" i="1"/>
  <c r="R66" i="1"/>
  <c r="R68" i="1"/>
  <c r="R69" i="1"/>
  <c r="R71" i="1"/>
  <c r="R72" i="1"/>
  <c r="R73" i="1"/>
  <c r="R74" i="1"/>
  <c r="R75" i="1"/>
  <c r="R76" i="1"/>
  <c r="R77" i="1"/>
  <c r="R78" i="1"/>
  <c r="R79" i="1"/>
  <c r="R82" i="1"/>
  <c r="R85" i="1"/>
  <c r="R86" i="1"/>
  <c r="R91" i="1"/>
  <c r="R98" i="1"/>
  <c r="R99" i="1"/>
  <c r="R100" i="1"/>
  <c r="R101" i="1"/>
  <c r="R102" i="1"/>
  <c r="R103" i="1"/>
  <c r="R104" i="1"/>
  <c r="R105" i="1"/>
  <c r="R106" i="1"/>
  <c r="R109" i="1"/>
  <c r="R111" i="1"/>
  <c r="R112" i="1"/>
  <c r="Q5" i="1"/>
  <c r="Q9" i="1"/>
  <c r="Q10" i="1"/>
  <c r="Q13" i="1"/>
  <c r="Q16" i="1"/>
  <c r="Q22" i="1"/>
  <c r="Q23" i="1"/>
  <c r="Q25" i="1"/>
  <c r="Q28" i="1"/>
  <c r="Q30" i="1"/>
  <c r="Q31" i="1"/>
  <c r="Q32" i="1"/>
  <c r="Q38" i="1"/>
  <c r="Q39" i="1"/>
  <c r="Q40" i="1"/>
  <c r="Q41" i="1"/>
  <c r="Q42" i="1"/>
  <c r="Q43" i="1"/>
  <c r="Q44" i="1"/>
  <c r="Q46" i="1"/>
  <c r="Q49" i="1"/>
  <c r="Q50" i="1"/>
  <c r="Q51" i="1"/>
  <c r="Q52" i="1"/>
  <c r="Q54" i="1"/>
  <c r="Q55" i="1"/>
  <c r="Q57" i="1"/>
  <c r="Q66" i="1"/>
  <c r="Q68" i="1"/>
  <c r="Q69" i="1"/>
  <c r="Q71" i="1"/>
  <c r="Q72" i="1"/>
  <c r="Q73" i="1"/>
  <c r="Q74" i="1"/>
  <c r="Q75" i="1"/>
  <c r="Q76" i="1"/>
  <c r="Q77" i="1"/>
  <c r="Q78" i="1"/>
  <c r="Q79" i="1"/>
  <c r="Q82" i="1"/>
  <c r="Q85" i="1"/>
  <c r="Q86" i="1"/>
  <c r="Q91" i="1"/>
  <c r="Q98" i="1"/>
  <c r="Q99" i="1"/>
  <c r="Q100" i="1"/>
  <c r="Q101" i="1"/>
  <c r="Q102" i="1"/>
  <c r="Q103" i="1"/>
  <c r="Q104" i="1"/>
  <c r="Q105" i="1"/>
  <c r="Q106" i="1"/>
  <c r="Q109" i="1"/>
  <c r="Q111" i="1"/>
  <c r="Q11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A4" i="3"/>
  <c r="O2" i="1" s="1"/>
  <c r="A3" i="3"/>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I2" i="1" a="1"/>
  <c r="I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C2" i="1"/>
  <c r="B10" i="3" s="1"/>
  <c r="B2" i="1"/>
  <c r="A2" i="3" s="1"/>
  <c r="C15" i="3" l="1"/>
  <c r="L2" i="3" a="1"/>
  <c r="L2" i="3" s="1"/>
  <c r="O4" i="3" s="1"/>
  <c r="B14" i="3"/>
  <c r="B15" i="3"/>
  <c r="M2" i="3" a="1"/>
  <c r="M2" i="3" s="1"/>
  <c r="S113" i="1"/>
  <c r="S97" i="1"/>
  <c r="S93" i="1"/>
  <c r="S89" i="1"/>
  <c r="S81" i="1"/>
  <c r="S65" i="1"/>
  <c r="S61" i="1"/>
  <c r="S53" i="1"/>
  <c r="S45" i="1"/>
  <c r="S37" i="1"/>
  <c r="S33" i="1"/>
  <c r="S29" i="1"/>
  <c r="S21" i="1"/>
  <c r="S17" i="1"/>
  <c r="S108" i="1"/>
  <c r="S96" i="1"/>
  <c r="S92" i="1"/>
  <c r="S88" i="1"/>
  <c r="S84" i="1"/>
  <c r="S80" i="1"/>
  <c r="S64" i="1"/>
  <c r="S60" i="1"/>
  <c r="S56" i="1"/>
  <c r="S48" i="1"/>
  <c r="S36" i="1"/>
  <c r="S24" i="1"/>
  <c r="S20" i="1"/>
  <c r="S12" i="1"/>
  <c r="S8" i="1"/>
  <c r="S4" i="1"/>
  <c r="S107" i="1"/>
  <c r="S95" i="1"/>
  <c r="S87" i="1"/>
  <c r="S83" i="1"/>
  <c r="S67" i="1"/>
  <c r="S63" i="1"/>
  <c r="S59" i="1"/>
  <c r="S47" i="1"/>
  <c r="S35" i="1"/>
  <c r="S27" i="1"/>
  <c r="S19" i="1"/>
  <c r="S15" i="1"/>
  <c r="S11" i="1"/>
  <c r="S7" i="1"/>
  <c r="S3" i="1"/>
  <c r="S110" i="1"/>
  <c r="S94" i="1"/>
  <c r="S90" i="1"/>
  <c r="S70" i="1"/>
  <c r="S62" i="1"/>
  <c r="S58" i="1"/>
  <c r="S34" i="1"/>
  <c r="S26" i="1"/>
  <c r="S18" i="1"/>
  <c r="S14" i="1"/>
  <c r="S6" i="1"/>
  <c r="S2" i="1"/>
  <c r="R97" i="1"/>
  <c r="R93" i="1"/>
  <c r="R89" i="1"/>
  <c r="R81" i="1"/>
  <c r="R65" i="1"/>
  <c r="R61" i="1"/>
  <c r="R53" i="1"/>
  <c r="R45" i="1"/>
  <c r="R37" i="1"/>
  <c r="R33" i="1"/>
  <c r="R29" i="1"/>
  <c r="R21" i="1"/>
  <c r="R17" i="1"/>
  <c r="R108" i="1"/>
  <c r="R96" i="1"/>
  <c r="R92" i="1"/>
  <c r="R88" i="1"/>
  <c r="R84" i="1"/>
  <c r="R80" i="1"/>
  <c r="R64" i="1"/>
  <c r="R60" i="1"/>
  <c r="R56" i="1"/>
  <c r="R48" i="1"/>
  <c r="R36" i="1"/>
  <c r="R24" i="1"/>
  <c r="R20" i="1"/>
  <c r="R12" i="1"/>
  <c r="R8" i="1"/>
  <c r="R4" i="1"/>
  <c r="R113" i="1"/>
  <c r="R107" i="1"/>
  <c r="R95" i="1"/>
  <c r="R87" i="1"/>
  <c r="R83" i="1"/>
  <c r="R67" i="1"/>
  <c r="R63" i="1"/>
  <c r="R59" i="1"/>
  <c r="R47" i="1"/>
  <c r="R35" i="1"/>
  <c r="R27" i="1"/>
  <c r="R19" i="1"/>
  <c r="R15" i="1"/>
  <c r="R11" i="1"/>
  <c r="R7" i="1"/>
  <c r="R3" i="1"/>
  <c r="R110" i="1"/>
  <c r="R94" i="1"/>
  <c r="R90" i="1"/>
  <c r="R70" i="1"/>
  <c r="R62" i="1"/>
  <c r="R58" i="1"/>
  <c r="R34" i="1"/>
  <c r="R26" i="1"/>
  <c r="R18" i="1"/>
  <c r="R14" i="1"/>
  <c r="R6" i="1"/>
  <c r="R2" i="1"/>
  <c r="Q83" i="1"/>
  <c r="Q59" i="1"/>
  <c r="Q47" i="1"/>
  <c r="Q15" i="1"/>
  <c r="Q107" i="1"/>
  <c r="Q87" i="1"/>
  <c r="Q67" i="1"/>
  <c r="Q35" i="1"/>
  <c r="Q7" i="1"/>
  <c r="Q27" i="1"/>
  <c r="Q19" i="1"/>
  <c r="Q11" i="1"/>
  <c r="Q95" i="1"/>
  <c r="Q63" i="1"/>
  <c r="Q3" i="1"/>
  <c r="Q113" i="1"/>
  <c r="Q97" i="1"/>
  <c r="Q93" i="1"/>
  <c r="Q89" i="1"/>
  <c r="Q81" i="1"/>
  <c r="Q65" i="1"/>
  <c r="Q61" i="1"/>
  <c r="Q53" i="1"/>
  <c r="Q45" i="1"/>
  <c r="Q37" i="1"/>
  <c r="Q33" i="1"/>
  <c r="Q29" i="1"/>
  <c r="Q21" i="1"/>
  <c r="Q17" i="1"/>
  <c r="Q108" i="1"/>
  <c r="Q96" i="1"/>
  <c r="Q92" i="1"/>
  <c r="Q88" i="1"/>
  <c r="Q84" i="1"/>
  <c r="Q80" i="1"/>
  <c r="Q64" i="1"/>
  <c r="Q60" i="1"/>
  <c r="Q56" i="1"/>
  <c r="Q48" i="1"/>
  <c r="Q36" i="1"/>
  <c r="Q24" i="1"/>
  <c r="Q20" i="1"/>
  <c r="Q12" i="1"/>
  <c r="Q8" i="1"/>
  <c r="Q4" i="1"/>
  <c r="Q110" i="1"/>
  <c r="Q94" i="1"/>
  <c r="Q90" i="1"/>
  <c r="Q70" i="1"/>
  <c r="Q62" i="1"/>
  <c r="Q58" i="1"/>
  <c r="Q34" i="1"/>
  <c r="Q26" i="1"/>
  <c r="Q18" i="1"/>
  <c r="Q14" i="1"/>
  <c r="Q6" i="1"/>
  <c r="Q2" i="1"/>
  <c r="O113" i="1"/>
  <c r="O109" i="1"/>
  <c r="O105" i="1"/>
  <c r="O101" i="1"/>
  <c r="O97" i="1"/>
  <c r="O93" i="1"/>
  <c r="O89" i="1"/>
  <c r="O85" i="1"/>
  <c r="O81" i="1"/>
  <c r="O77" i="1"/>
  <c r="O73" i="1"/>
  <c r="O69" i="1"/>
  <c r="O65" i="1"/>
  <c r="O61" i="1"/>
  <c r="O57" i="1"/>
  <c r="O53" i="1"/>
  <c r="O49" i="1"/>
  <c r="O45" i="1"/>
  <c r="O41" i="1"/>
  <c r="O37" i="1"/>
  <c r="O33" i="1"/>
  <c r="O29" i="1"/>
  <c r="O25" i="1"/>
  <c r="O21" i="1"/>
  <c r="O17" i="1"/>
  <c r="O13" i="1"/>
  <c r="O9" i="1"/>
  <c r="O5" i="1"/>
  <c r="O112" i="1"/>
  <c r="O108" i="1"/>
  <c r="O104" i="1"/>
  <c r="O100" i="1"/>
  <c r="O96" i="1"/>
  <c r="O92" i="1"/>
  <c r="O88" i="1"/>
  <c r="O84" i="1"/>
  <c r="O80" i="1"/>
  <c r="O76" i="1"/>
  <c r="O72" i="1"/>
  <c r="O68" i="1"/>
  <c r="O64" i="1"/>
  <c r="O60" i="1"/>
  <c r="O56" i="1"/>
  <c r="O52" i="1"/>
  <c r="O48" i="1"/>
  <c r="O44" i="1"/>
  <c r="O40" i="1"/>
  <c r="O36" i="1"/>
  <c r="O32" i="1"/>
  <c r="O28" i="1"/>
  <c r="O24" i="1"/>
  <c r="O20" i="1"/>
  <c r="O16" i="1"/>
  <c r="O12" i="1"/>
  <c r="O8" i="1"/>
  <c r="O4" i="1"/>
  <c r="O111" i="1"/>
  <c r="O107" i="1"/>
  <c r="O103" i="1"/>
  <c r="O99" i="1"/>
  <c r="O95" i="1"/>
  <c r="O91" i="1"/>
  <c r="O87" i="1"/>
  <c r="O83" i="1"/>
  <c r="O79" i="1"/>
  <c r="O75" i="1"/>
  <c r="O71" i="1"/>
  <c r="O67" i="1"/>
  <c r="O63" i="1"/>
  <c r="O59" i="1"/>
  <c r="O55" i="1"/>
  <c r="O51" i="1"/>
  <c r="O47" i="1"/>
  <c r="O43" i="1"/>
  <c r="O39" i="1"/>
  <c r="O35" i="1"/>
  <c r="O31" i="1"/>
  <c r="O27" i="1"/>
  <c r="O23" i="1"/>
  <c r="O19" i="1"/>
  <c r="O15" i="1"/>
  <c r="O11" i="1"/>
  <c r="O7" i="1"/>
  <c r="O3" i="1"/>
  <c r="O110" i="1"/>
  <c r="O106" i="1"/>
  <c r="O102" i="1"/>
  <c r="O98" i="1"/>
  <c r="O94" i="1"/>
  <c r="O90" i="1"/>
  <c r="O86" i="1"/>
  <c r="O82" i="1"/>
  <c r="O78" i="1"/>
  <c r="O74" i="1"/>
  <c r="O70" i="1"/>
  <c r="O66" i="1"/>
  <c r="O62" i="1"/>
  <c r="O58" i="1"/>
  <c r="O54" i="1"/>
  <c r="O50" i="1"/>
  <c r="O46" i="1"/>
  <c r="O42" i="1"/>
  <c r="O38" i="1"/>
  <c r="O34" i="1"/>
  <c r="O30" i="1"/>
  <c r="O26" i="1"/>
  <c r="O22" i="1"/>
  <c r="O18" i="1"/>
  <c r="O14" i="1"/>
  <c r="O10" i="1"/>
  <c r="O6" i="1"/>
  <c r="A1" i="3"/>
  <c r="E2" i="1"/>
  <c r="F2" i="1"/>
  <c r="D4" i="1" l="1"/>
  <c r="D8" i="1"/>
  <c r="D12" i="1"/>
  <c r="D16" i="1"/>
  <c r="D20" i="1"/>
  <c r="D24" i="1"/>
  <c r="D28" i="1"/>
  <c r="D32" i="1"/>
  <c r="D36" i="1"/>
  <c r="D40" i="1"/>
  <c r="D44" i="1"/>
  <c r="D48" i="1"/>
  <c r="D52" i="1"/>
  <c r="D56" i="1"/>
  <c r="D60" i="1"/>
  <c r="D64" i="1"/>
  <c r="D68" i="1"/>
  <c r="D72" i="1"/>
  <c r="D76" i="1"/>
  <c r="D80" i="1"/>
  <c r="D84" i="1"/>
  <c r="D88" i="1"/>
  <c r="D92" i="1"/>
  <c r="D96" i="1"/>
  <c r="D100" i="1"/>
  <c r="D104" i="1"/>
  <c r="D108" i="1"/>
  <c r="D112" i="1"/>
  <c r="D5" i="1"/>
  <c r="D9" i="1"/>
  <c r="D13" i="1"/>
  <c r="D17" i="1"/>
  <c r="D21" i="1"/>
  <c r="D25" i="1"/>
  <c r="D29" i="1"/>
  <c r="D33" i="1"/>
  <c r="D37" i="1"/>
  <c r="D41" i="1"/>
  <c r="D45" i="1"/>
  <c r="D49" i="1"/>
  <c r="D53" i="1"/>
  <c r="D57" i="1"/>
  <c r="D61" i="1"/>
  <c r="D65" i="1"/>
  <c r="D69" i="1"/>
  <c r="D73" i="1"/>
  <c r="D77" i="1"/>
  <c r="D81" i="1"/>
  <c r="D85" i="1"/>
  <c r="D89" i="1"/>
  <c r="D93" i="1"/>
  <c r="D97" i="1"/>
  <c r="D101" i="1"/>
  <c r="D105" i="1"/>
  <c r="D109" i="1"/>
  <c r="D113" i="1"/>
  <c r="D6" i="1"/>
  <c r="D10" i="1"/>
  <c r="D14" i="1"/>
  <c r="D18" i="1"/>
  <c r="D22" i="1"/>
  <c r="D26" i="1"/>
  <c r="D30" i="1"/>
  <c r="D34" i="1"/>
  <c r="D38" i="1"/>
  <c r="D42" i="1"/>
  <c r="D46" i="1"/>
  <c r="D50" i="1"/>
  <c r="D54" i="1"/>
  <c r="D58" i="1"/>
  <c r="D62" i="1"/>
  <c r="D66" i="1"/>
  <c r="D70" i="1"/>
  <c r="D74" i="1"/>
  <c r="D78" i="1"/>
  <c r="D82" i="1"/>
  <c r="D86" i="1"/>
  <c r="D90" i="1"/>
  <c r="D94" i="1"/>
  <c r="D98" i="1"/>
  <c r="D102" i="1"/>
  <c r="D106" i="1"/>
  <c r="D110" i="1"/>
  <c r="D3" i="1"/>
  <c r="D7" i="1"/>
  <c r="D11" i="1"/>
  <c r="D15" i="1"/>
  <c r="D19" i="1"/>
  <c r="D23" i="1"/>
  <c r="D27" i="1"/>
  <c r="D31" i="1"/>
  <c r="D35" i="1"/>
  <c r="D39" i="1"/>
  <c r="D43" i="1"/>
  <c r="D47" i="1"/>
  <c r="D51" i="1"/>
  <c r="D55" i="1"/>
  <c r="D59" i="1"/>
  <c r="D63" i="1"/>
  <c r="D67" i="1"/>
  <c r="D71" i="1"/>
  <c r="D75" i="1"/>
  <c r="D79" i="1"/>
  <c r="D83" i="1"/>
  <c r="D87" i="1"/>
  <c r="D91" i="1"/>
  <c r="D95" i="1"/>
  <c r="D99" i="1"/>
  <c r="D103" i="1"/>
  <c r="D107" i="1"/>
  <c r="D111"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7CEE4-DE6B-40AB-BC32-5C44220F6AA8}" keepAlive="1" name="Query - Excel_jumia_dataset" description="Connection to the 'Excel_jumia_dataset' query in the workbook." type="5" refreshedVersion="8" background="1" saveData="1">
    <dbPr connection="Provider=Microsoft.Mashup.OleDb.1;Data Source=$Workbook$;Location=Excel_jumia_dataset;Extended Properties=&quot;&quot;" command="SELECT * FROM [Excel_jumia_dataset]"/>
  </connection>
  <connection id="2" xr16:uid="{CAFB8F01-513C-4BA1-ABBE-67C0C7A729BB}" keepAlive="1" name="Query - Excel_jumia_dataset (2)" description="Connection to the 'Excel_jumia_dataset (2)' query in the workbook." type="5" refreshedVersion="8" background="1" saveData="1">
    <dbPr connection="Provider=Microsoft.Mashup.OleDb.1;Data Source=$Workbook$;Location=&quot;Excel_jumia_dataset (2)&quot;;Extended Properties=&quot;&quot;" command="SELECT * FROM [Excel_jumia_dataset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<sst xmlns="http://schemas.openxmlformats.org/spreadsheetml/2006/main" count="900" uniqueCount="449">
  <si>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</si>
  <si>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</si>
  <si>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</si>
  <si>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</si>
  <si>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</si>
  <si>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</si>
  <si>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</si>
  <si>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</si>
  <si>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</si>
  <si>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</si>
  <si>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</si>
  <si>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</si>
  <si>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</si>
  <si>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</si>
  <si>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</si>
  <si>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</si>
  <si>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</si>
  <si>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</si>
  <si>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</si>
  <si>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</si>
  <si>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</si>
  <si>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</si>
  <si>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</si>
  <si>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</si>
  <si>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</si>
  <si>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</si>
  <si>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</si>
  <si>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</si>
  <si>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</si>
  <si>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</si>
  <si>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</si>
  <si>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</si>
  <si>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</si>
  <si>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</si>
  <si>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</si>
  <si>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</si>
  <si>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</si>
  <si>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</si>
  <si>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</si>
  <si>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</si>
  <si>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</si>
  <si>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</si>
  <si>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</si>
  <si>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</si>
  <si>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</si>
  <si>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</si>
  <si>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</si>
  <si>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</si>
  <si>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</si>
  <si>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</si>
  <si>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</si>
  <si>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</si>
  <si>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</si>
  <si>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</si>
  <si>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</si>
  <si>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</si>
  <si>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</si>
  <si>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</si>
  <si>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</si>
  <si>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</si>
  <si>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</si>
  <si>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</si>
  <si>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</si>
  <si>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</si>
  <si>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</si>
  <si>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</si>
  <si>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</si>
  <si>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</si>
  <si>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</si>
  <si>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</si>
  <si>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</si>
  <si>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</si>
  <si>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</si>
  <si>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</si>
  <si>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</si>
  <si>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</si>
  <si>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</si>
  <si>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</si>
  <si>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</si>
  <si>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</si>
  <si>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</si>
  <si>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</si>
  <si>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</si>
  <si>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</si>
  <si>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</si>
  <si>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</si>
  <si>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</si>
  <si>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</si>
  <si>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</si>
  <si>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</si>
  <si>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</si>
  <si>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</si>
  <si>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</si>
  <si>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</si>
  <si>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</si>
  <si>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</si>
  <si>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</si>
  <si>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</si>
  <si>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</si>
  <si>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</si>
  <si>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</si>
  <si>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</si>
  <si>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</si>
  <si>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</si>
  <si>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</si>
  <si>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</si>
  <si>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</si>
  <si>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</si>
  <si>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</si>
  <si>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</si>
  <si>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</si>
  <si>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</si>
  <si>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</si>
  <si>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</si>
  <si>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</si>
  <si>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</si>
  <si>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</si>
  <si>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</si>
  <si>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</si>
  <si>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</si>
  <si>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</si>
  <si>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</si>
  <si>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</si>
  <si>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</si>
  <si>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</si>
  <si>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</si>
  <si>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</si>
  <si>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</si>
  <si>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</si>
  <si>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</si>
  <si>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</si>
  <si>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</si>
  <si>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</si>
  <si>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</si>
  <si>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</si>
  <si>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</si>
  <si>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</si>
  <si>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</si>
  <si>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</si>
  <si>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</si>
  <si>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</si>
  <si>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</si>
  <si>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</si>
  <si>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</si>
  <si>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</si>
  <si>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</si>
  <si>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</si>
  <si>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</si>
  <si>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</si>
  <si>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</si>
  <si>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</si>
  <si>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</si>
  <si>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</si>
  <si>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</si>
  <si>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</si>
  <si>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</si>
  <si>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</si>
  <si>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</si>
  <si>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</si>
  <si>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</si>
  <si>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</si>
  <si>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</si>
  <si>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</si>
  <si>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</si>
  <si>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</si>
  <si>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</si>
  <si>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</si>
  <si>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</si>
  <si>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</si>
  <si>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</si>
  <si>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</si>
  <si>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</si>
  <si>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</si>
  <si>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</si>
  <si>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</si>
  <si>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</si>
  <si>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</si>
  <si>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</si>
  <si>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</si>
  <si>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</si>
  <si>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</si>
  <si>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</si>
  <si>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</si>
  <si>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</si>
  <si>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</si>
  <si>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</si>
  <si>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</si>
  <si>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</si>
  <si>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</si>
  <si>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</si>
  <si>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</si>
  <si>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</si>
  <si>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</si>
  <si>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</si>
  <si>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</si>
  <si>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</si>
  <si>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</si>
  <si>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</si>
  <si>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</si>
  <si>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</si>
  <si>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</si>
  <si>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</si>
  <si>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</si>
  <si>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</si>
  <si>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</si>
  <si>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</si>
  <si>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</si>
  <si>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</si>
  <si>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</si>
  <si>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</si>
  <si>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</si>
  <si>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</si>
  <si>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</si>
  <si>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</si>
  <si>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</si>
  <si>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</si>
  <si>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</si>
  <si>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</si>
  <si>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</si>
  <si>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</si>
  <si>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</si>
  <si>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</si>
  <si>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</si>
  <si>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</si>
  <si>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</si>
  <si>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</si>
  <si>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</si>
  <si>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</si>
  <si>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</si>
  <si>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</si>
  <si>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</si>
  <si>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</si>
  <si>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</si>
  <si>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</si>
  <si>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</si>
  <si>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</si>
  <si>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</si>
  <si>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</si>
  <si>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</si>
  <si>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</si>
  <si>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</si>
  <si>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</si>
  <si>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</si>
  <si>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</si>
  <si>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</si>
  <si>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</si>
  <si>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</si>
  <si>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</si>
  <si>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</si>
  <si>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</si>
  <si>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</si>
  <si>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</si>
  <si>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</si>
  <si>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</si>
  <si>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</si>
  <si>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</si>
  <si>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</si>
  <si>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</si>
  <si>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</si>
  <si>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</si>
  <si>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</si>
  <si>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</si>
  <si>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</si>
  <si>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</si>
  <si>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</si>
  <si>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</si>
  <si>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</si>
  <si>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</si>
  <si>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</si>
  <si>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</si>
  <si>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</si>
  <si>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</si>
  <si>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</si>
  <si>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</si>
  <si>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</si>
  <si>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</si>
  <si>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</si>
  <si>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</si>
  <si>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</si>
  <si>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</si>
  <si>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</si>
  <si>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</si>
  <si>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</si>
  <si>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</si>
  <si>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</si>
  <si>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</si>
  <si>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</si>
  <si>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</si>
  <si>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</si>
  <si>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</si>
  <si>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</si>
  <si>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</si>
  <si>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</si>
  <si>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</si>
  <si>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</si>
  <si>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</si>
  <si>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</si>
  <si>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</si>
  <si>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</si>
  <si>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</si>
  <si>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</si>
  <si>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</si>
  <si>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</si>
  <si>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</si>
  <si>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</si>
  <si>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</si>
  <si>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</si>
  <si>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</si>
  <si>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</si>
  <si>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</si>
  <si>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</si>
  <si>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</si>
  <si>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</si>
  <si>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</si>
  <si>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</si>
  <si>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</si>
  <si>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</si>
  <si>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</si>
  <si>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</si>
  <si>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</si>
  <si>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</si>
  <si>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</si>
  <si>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</si>
  <si>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</si>
  <si>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Current Price</t>
  </si>
  <si>
    <t>Old Price</t>
  </si>
  <si>
    <t>Data Status</t>
  </si>
  <si>
    <t>Checking Rating</t>
  </si>
  <si>
    <t>Rating</t>
  </si>
  <si>
    <t>Check Discount</t>
  </si>
  <si>
    <t>Advertised Discount</t>
  </si>
  <si>
    <t>Discount Amount</t>
  </si>
  <si>
    <t>Calculated Discount</t>
  </si>
  <si>
    <t>Rating Category</t>
  </si>
  <si>
    <t>Discount Category</t>
  </si>
  <si>
    <t>Price Category</t>
  </si>
  <si>
    <t>Engagement Strength</t>
  </si>
  <si>
    <t>High Discount + Low Rating</t>
  </si>
  <si>
    <t>High Discount + Low Engagement</t>
  </si>
  <si>
    <t>Many Reviews + average rating</t>
  </si>
  <si>
    <t>Strong Engagement + excellent rating</t>
  </si>
  <si>
    <t>Metric</t>
  </si>
  <si>
    <t>Descriptive Statistics</t>
  </si>
  <si>
    <t>Statistic</t>
  </si>
  <si>
    <t>Total Products</t>
  </si>
  <si>
    <t>Average Current Price</t>
  </si>
  <si>
    <t>Average Old Price</t>
  </si>
  <si>
    <t>Average Discount</t>
  </si>
  <si>
    <t>Average rating</t>
  </si>
  <si>
    <t>Total Reviews</t>
  </si>
  <si>
    <t>Most Expensive Price</t>
  </si>
  <si>
    <t>Least Expensive Price</t>
  </si>
  <si>
    <t>Product name</t>
  </si>
  <si>
    <t>N/A</t>
  </si>
  <si>
    <t>Row Labels</t>
  </si>
  <si>
    <t>Average</t>
  </si>
  <si>
    <t>Excellent</t>
  </si>
  <si>
    <t>Missing</t>
  </si>
  <si>
    <t>Poor</t>
  </si>
  <si>
    <t>Grand Total</t>
  </si>
  <si>
    <t>Count of Product</t>
  </si>
  <si>
    <t>High Discount</t>
  </si>
  <si>
    <t>Low Discount</t>
  </si>
  <si>
    <t>Medium Discount</t>
  </si>
  <si>
    <t>High Price</t>
  </si>
  <si>
    <t>Low Price</t>
  </si>
  <si>
    <t>Medium Price</t>
  </si>
  <si>
    <t>Average of Rating</t>
  </si>
  <si>
    <t>Sum of Review</t>
  </si>
  <si>
    <t>(Multiple Items)</t>
  </si>
  <si>
    <t>Average of Advertised Discount</t>
  </si>
  <si>
    <t>Yes</t>
  </si>
  <si>
    <t>Data  Quality Audit Summary</t>
  </si>
  <si>
    <r>
      <t>Source data:</t>
    </r>
    <r>
      <rPr>
        <sz val="11"/>
        <color theme="1"/>
        <rFont val="Aptos Narrow"/>
        <family val="2"/>
        <scheme val="minor"/>
      </rPr>
      <t>115 rows,6 columns(Product,Current Price,Old Price,Discount,Review,Ratingd)</t>
    </r>
  </si>
  <si>
    <r>
      <t>Blanks:</t>
    </r>
    <r>
      <rPr>
        <sz val="11"/>
        <color theme="1"/>
        <rFont val="Aptos Narrow"/>
        <family val="2"/>
        <scheme val="minor"/>
      </rPr>
      <t>Review and Ratingd had 58 blanks each,the rest of the columns had no blanks.</t>
    </r>
  </si>
  <si>
    <r>
      <t>Non-numeric values:</t>
    </r>
    <r>
      <rPr>
        <sz val="11"/>
        <color theme="1"/>
        <rFont val="Aptos Narrow"/>
        <family val="2"/>
        <scheme val="minor"/>
      </rPr>
      <t xml:space="preserve"> none aside from 1 price-range row</t>
    </r>
  </si>
  <si>
    <r>
      <t>Negative review counts:</t>
    </r>
    <r>
      <rPr>
        <sz val="11"/>
        <color theme="1"/>
        <rFont val="Aptos Narrow"/>
        <family val="2"/>
        <scheme val="minor"/>
      </rPr>
      <t xml:space="preserve"> 57 rows</t>
    </r>
  </si>
  <si>
    <r>
      <t>Price ranges:</t>
    </r>
    <r>
      <rPr>
        <sz val="11"/>
        <color theme="1"/>
        <rFont val="Aptos Narrow"/>
        <family val="2"/>
        <scheme val="minor"/>
      </rPr>
      <t xml:space="preserve"> 1 row</t>
    </r>
  </si>
  <si>
    <r>
      <t>Duplicates:</t>
    </r>
    <r>
      <rPr>
        <sz val="11"/>
        <color theme="1"/>
        <rFont val="Aptos Narrow"/>
        <family val="2"/>
        <scheme val="minor"/>
      </rPr>
      <t xml:space="preserve"> 3 exact duplicates across all 6 fields which were removed. 6 rows with duplicate Product names but differing price/review/discount were kept</t>
    </r>
  </si>
  <si>
    <r>
      <t>Ratings outside 0–5:</t>
    </r>
    <r>
      <rPr>
        <sz val="11"/>
        <color theme="1"/>
        <rFont val="Aptos Narrow"/>
        <family val="2"/>
        <scheme val="minor"/>
      </rPr>
      <t xml:space="preserve"> none. </t>
    </r>
    <r>
      <rPr>
        <b/>
        <sz val="11"/>
        <color theme="1"/>
        <rFont val="Aptos Narrow"/>
        <family val="2"/>
        <scheme val="minor"/>
      </rPr>
      <t>Discounts outside 0–100%:</t>
    </r>
    <r>
      <rPr>
        <sz val="11"/>
        <color theme="1"/>
        <rFont val="Aptos Narrow"/>
        <family val="2"/>
        <scheme val="minor"/>
      </rPr>
      <t xml:space="preserve"> none .</t>
    </r>
    <r>
      <rPr>
        <b/>
        <sz val="11"/>
        <color theme="1"/>
        <rFont val="Aptos Narrow"/>
        <family val="2"/>
        <scheme val="minor"/>
      </rPr>
      <t>Current price &gt; old price:</t>
    </r>
    <r>
      <rPr>
        <sz val="11"/>
        <color theme="1"/>
        <rFont val="Aptos Narrow"/>
        <family val="2"/>
        <scheme val="minor"/>
      </rPr>
      <t xml:space="preserve"> none</t>
    </r>
  </si>
  <si>
    <t>Data Cleaning and Enrichment Log</t>
  </si>
  <si>
    <t>Issue</t>
  </si>
  <si>
    <t>Rows Affected</t>
  </si>
  <si>
    <t>Decision</t>
  </si>
  <si>
    <t>Reason</t>
  </si>
  <si>
    <t>Exact duplicate rows identical across the 6 columns</t>
  </si>
  <si>
    <t>Removed using "Remove Duplicates" in Data Tools</t>
  </si>
  <si>
    <t>True duplicates</t>
  </si>
  <si>
    <t>Duplicate Product name with differing data entries</t>
  </si>
  <si>
    <t>Kept as is</t>
  </si>
  <si>
    <t>May be different seller listings</t>
  </si>
  <si>
    <t>Blank Review Values</t>
  </si>
  <si>
    <t>Left Blank</t>
  </si>
  <si>
    <t>Not captured does not mean zero reviews</t>
  </si>
  <si>
    <t>Blank Rating Values</t>
  </si>
  <si>
    <t>Not captured does not mean zero ratings</t>
  </si>
  <si>
    <t>Negative Review values</t>
  </si>
  <si>
    <t>Converted using ABS(),a helper column then paste special values</t>
  </si>
  <si>
    <t>100% of non-blank values were negative,a systemic scraping artifact</t>
  </si>
  <si>
    <t>Price range(Current price KSh 1620-1980,KSh 2200-3200)</t>
  </si>
  <si>
    <t>Used midpoint criterion</t>
  </si>
  <si>
    <t>It preserves both bounds as lower-bound or exclusion would lose data</t>
  </si>
  <si>
    <t>Rating text format("4.5 out of 5")</t>
  </si>
  <si>
    <t>non-blank rating rows</t>
  </si>
  <si>
    <t>Removed  "out of 5" leaving decimal numbers</t>
  </si>
  <si>
    <t>Expected to be decimal numbers</t>
  </si>
  <si>
    <t>Header"Ratingd"</t>
  </si>
  <si>
    <t>header</t>
  </si>
  <si>
    <t>Renamed to "Rating"</t>
  </si>
  <si>
    <t>Header "old price"</t>
  </si>
  <si>
    <t>Renamed to "Old Price"</t>
  </si>
  <si>
    <t>Correct typo</t>
  </si>
  <si>
    <t>Ensure header consistency</t>
  </si>
  <si>
    <t>Price as text with "KSh" prefix</t>
  </si>
  <si>
    <t>all Current/Old Price rows</t>
  </si>
  <si>
    <t>Cleaned and converted to currency with format "KSh #,##0.00"</t>
  </si>
  <si>
    <t>Expected to be currency numeric values</t>
  </si>
  <si>
    <t>Price Category thresholds</t>
  </si>
  <si>
    <t>all Current price rows</t>
  </si>
  <si>
    <t>Price_Q1 = KSh 493, Price_Q3 = KSh 1,669.50 (Low ≤Q1, Medium ≤Q3, High &gt;Q3)</t>
  </si>
  <si>
    <t>Data driven thresholds</t>
  </si>
  <si>
    <t>Discount Category thresholds</t>
  </si>
  <si>
    <t xml:space="preserve">all Advertised discount rows </t>
  </si>
  <si>
    <t xml:space="preserve">Low &lt;20%, Medium 20–40%, High &gt;40% </t>
  </si>
  <si>
    <t>As per the project guidelines</t>
  </si>
  <si>
    <t>Calculated discount vs. advertised discount mismatch (price-range row)</t>
  </si>
  <si>
    <t>Kept advertised Discount (38%) as the original value; added calculated discount (33%, from midpoint prices) as a separate comparison field, flagged the difference rather than overwriting</t>
  </si>
  <si>
    <t>Midpoint is an estimate, not the actual  price. The calculated discount shows this. Advertised discount is the seller's stated figure and is kept as the source of truth</t>
  </si>
  <si>
    <t>"Strong Engagement" threshold</t>
  </si>
  <si>
    <t>all rows with Review</t>
  </si>
  <si>
    <t>Review ≥ Review_Q3 (13)(Calculated in the Analysis sheet)</t>
  </si>
  <si>
    <t>Data driven threshold</t>
  </si>
  <si>
    <t>Data status field</t>
  </si>
  <si>
    <t xml:space="preserve">all rows </t>
  </si>
  <si>
    <t>Complete /Missing rating and review</t>
  </si>
  <si>
    <t>Helps users understand the data easily</t>
  </si>
  <si>
    <t>Combination flags (high discount+low rating; high discount+low engagement; many reviews+average rating; strong engagement+excellent rating)</t>
  </si>
  <si>
    <t>Rows with either fields or blank</t>
  </si>
  <si>
    <t>Flag returns "Yes" ,"No" or "Missing" rather than guessing</t>
  </si>
  <si>
    <t>Data driven conclusions</t>
  </si>
  <si>
    <t>Missing ratings in rating rankings</t>
  </si>
  <si>
    <t>Excluded from rating rankings</t>
  </si>
  <si>
    <t>Validation checks</t>
  </si>
  <si>
    <t>all rows</t>
  </si>
  <si>
    <t>Checked whether  Rating is between 0–5, Discount 0–100%, Current Price ≤ Old Price</t>
  </si>
  <si>
    <t>To improve data quality</t>
  </si>
  <si>
    <t>Rating and Review ranking ties</t>
  </si>
  <si>
    <t>Rows in Top 10 and Bottom 10 lists</t>
  </si>
  <si>
    <t xml:space="preserve">Rating ties broken by Review count; and Review ties broken by Rating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</si>
</sst>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KES]\ #,##0.00"/>
    <numFmt numFmtId="167" formatCode="[$KSh]\ #,##0.00"/>
  </numFmts>
  <fonts count="6" x14ac:knownFonts="1">
    <font>
      <sz val="11"/>
      <color theme="1"/>
      <name val="Aptos Narrow"/>
      <family val="2"/>
      <scheme val="minor"/>
    </font>
    <font>
      <b/>
      <sz val="11"/>
      <color theme="0"/>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u/>
      <sz val="14"/>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5" tint="0.79998168889431442"/>
        <bgColor indexed="64"/>
      </patternFill>
    </fill>
  </fills>
  <borders count="9">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top/>
      <bottom/>
      <diagonal/>
    </border>
    <border>
      <left/>
      <right style="thin">
        <color theme="4"/>
      </right>
      <top/>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164" fontId="0" fillId="0" borderId="0" xfId="0" applyNumberFormat="1"/>
    <xf numFmtId="0" fontId="0" fillId="0" borderId="2" xfId="0" applyBorder="1"/>
    <xf numFmtId="165" fontId="0" fillId="0" borderId="0" xfId="0" applyNumberFormat="1"/>
    <xf numFmtId="166" fontId="0" fillId="0" borderId="0" xfId="0" applyNumberFormat="1"/>
    <xf numFmtId="49" fontId="0" fillId="0" borderId="0" xfId="0" applyNumberFormat="1"/>
    <xf numFmtId="0" fontId="0" fillId="0" borderId="5" xfId="0" applyBorder="1"/>
    <xf numFmtId="49" fontId="0" fillId="0" borderId="1" xfId="0" applyNumberFormat="1" applyBorder="1"/>
    <xf numFmtId="166" fontId="0" fillId="0" borderId="2" xfId="0" applyNumberFormat="1" applyBorder="1"/>
    <xf numFmtId="165" fontId="0" fillId="0" borderId="3" xfId="0" applyNumberFormat="1" applyBorder="1"/>
    <xf numFmtId="49" fontId="0" fillId="0" borderId="4" xfId="0" applyNumberFormat="1" applyBorder="1"/>
    <xf numFmtId="166" fontId="0" fillId="0" borderId="5" xfId="0" applyNumberFormat="1" applyBorder="1"/>
    <xf numFmtId="165" fontId="0" fillId="0" borderId="6" xfId="0" applyNumberFormat="1" applyBorder="1"/>
    <xf numFmtId="167" fontId="0" fillId="0" borderId="2" xfId="0" applyNumberFormat="1" applyBorder="1"/>
    <xf numFmtId="167" fontId="0" fillId="0" borderId="5" xfId="0" applyNumberFormat="1" applyBorder="1"/>
    <xf numFmtId="167" fontId="0" fillId="0" borderId="0" xfId="0" applyNumberFormat="1"/>
    <xf numFmtId="9" fontId="0" fillId="0" borderId="0" xfId="1" applyFont="1"/>
    <xf numFmtId="9" fontId="0" fillId="0" borderId="2" xfId="1" applyFont="1" applyBorder="1"/>
    <xf numFmtId="9" fontId="0" fillId="0" borderId="5" xfId="1" applyFont="1" applyBorder="1"/>
    <xf numFmtId="49" fontId="1" fillId="2" borderId="7" xfId="0" applyNumberFormat="1" applyFont="1" applyFill="1" applyBorder="1"/>
    <xf numFmtId="167" fontId="1" fillId="2" borderId="0" xfId="0" applyNumberFormat="1" applyFont="1" applyFill="1"/>
    <xf numFmtId="166" fontId="1" fillId="2" borderId="0" xfId="0" applyNumberFormat="1" applyFont="1" applyFill="1"/>
    <xf numFmtId="9" fontId="1" fillId="2" borderId="0" xfId="1" applyFont="1" applyFill="1" applyBorder="1"/>
    <xf numFmtId="0" fontId="1" fillId="2" borderId="0" xfId="0" applyFont="1" applyFill="1"/>
    <xf numFmtId="165" fontId="1" fillId="2" borderId="8" xfId="0" applyNumberFormat="1" applyFont="1" applyFill="1" applyBorder="1"/>
    <xf numFmtId="165" fontId="1" fillId="2" borderId="0" xfId="0" applyNumberFormat="1" applyFont="1" applyFill="1"/>
    <xf numFmtId="9" fontId="1" fillId="2" borderId="0" xfId="1" applyFont="1" applyFill="1"/>
    <xf numFmtId="9" fontId="0" fillId="0" borderId="2" xfId="1" quotePrefix="1" applyFont="1" applyBorder="1"/>
    <xf numFmtId="0" fontId="4" fillId="0" borderId="0" xfId="0" applyFont="1"/>
    <xf numFmtId="2" fontId="0" fillId="0" borderId="0" xfId="0" applyNumberFormat="1"/>
    <xf numFmtId="1" fontId="0" fillId="0" borderId="0" xfId="0" applyNumberFormat="1"/>
    <xf numFmtId="0" fontId="1" fillId="3" borderId="0" xfId="0" applyFont="1" applyFill="1"/>
    <xf numFmtId="9" fontId="1" fillId="3" borderId="0" xfId="1" applyFont="1" applyFill="1"/>
    <xf numFmtId="167" fontId="1" fillId="3"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4" borderId="0" xfId="0" applyFill="1"/>
    <xf numFmtId="0" fontId="5" fillId="0" borderId="0" xfId="0" applyFont="1" applyFill="1"/>
    <xf numFmtId="0" fontId="0" fillId="0" borderId="0" xfId="0" applyFill="1"/>
    <xf numFmtId="0" fontId="3" fillId="0" borderId="0" xfId="0" applyFont="1" applyFill="1"/>
    <xf numFmtId="0" fontId="0" fillId="0" borderId="0" xfId="0" applyFill="1" applyAlignment="1">
      <alignment wrapText="1"/>
    </xf>
  </cellXfs>
  <cellStyles count="2">
    <cellStyle name="Normal" xfId="0" builtinId="0"/>
    <cellStyle name="Percent" xfId="1" builtinId="5"/>
  </cellStyles>
  <dxfs count="32">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color rgb="FF9C0006"/>
      </font>
      <fill>
        <patternFill>
          <bgColor rgb="FFFFC7CE"/>
        </patternFill>
      </fill>
    </dxf>
    <dxf>
      <numFmt numFmtId="2" formatCode="0.00"/>
    </dxf>
    <dxf>
      <numFmt numFmtId="2" formatCode="0.00"/>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dxf>
    <dxf>
      <numFmt numFmtId="166" formatCode="[$KES]\ #,##0.00"/>
    </dxf>
    <dxf>
      <numFmt numFmtId="167" formatCode="[$KSh]\ #,##0.00"/>
      <border diagonalUp="0" diagonalDown="0">
        <left/>
        <right/>
        <top style="thin">
          <color theme="4"/>
        </top>
        <bottom/>
        <vertical/>
        <horizontal/>
      </border>
    </dxf>
    <dxf>
      <numFmt numFmtId="167" formatCode="[$KSh]\ #,##0.00"/>
    </dxf>
    <dxf>
      <numFmt numFmtId="167" formatCode="[$KSh]\ #,##0.00"/>
    </dxf>
    <dxf>
      <numFmt numFmtId="30" formatCode="@"/>
    </dxf>
    <dxf>
      <border outline="0">
        <top style="thin">
          <color theme="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Discount vs Review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Analysis!$J$1</c:f>
              <c:strCache>
                <c:ptCount val="1"/>
                <c:pt idx="0">
                  <c:v>Review</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1.5585301837270341E-2"/>
                  <c:y val="-0.12580198308544766"/>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1" baseline="0"/>
                      <a:t>y = -13.431x + 17.128</a:t>
                    </a:r>
                    <a:br>
                      <a:rPr lang="en-US" b="1" baseline="0"/>
                    </a:br>
                    <a:r>
                      <a:rPr lang="en-US" b="1" baseline="0"/>
                      <a:t>R² = 0.0123</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Analysis!$I$2:$I$58</c:f>
              <c:numCache>
                <c:formatCode>0%</c:formatCode>
                <c:ptCount val="57"/>
                <c:pt idx="0">
                  <c:v>0.38</c:v>
                </c:pt>
                <c:pt idx="1">
                  <c:v>0.39</c:v>
                </c:pt>
                <c:pt idx="2">
                  <c:v>0.21</c:v>
                </c:pt>
                <c:pt idx="3">
                  <c:v>0.09</c:v>
                </c:pt>
                <c:pt idx="4">
                  <c:v>0.19</c:v>
                </c:pt>
                <c:pt idx="5">
                  <c:v>0.18</c:v>
                </c:pt>
                <c:pt idx="6">
                  <c:v>0.24</c:v>
                </c:pt>
                <c:pt idx="7">
                  <c:v>0.28999999999999998</c:v>
                </c:pt>
                <c:pt idx="8">
                  <c:v>0.25</c:v>
                </c:pt>
                <c:pt idx="9">
                  <c:v>0.13</c:v>
                </c:pt>
                <c:pt idx="10">
                  <c:v>0.55000000000000004</c:v>
                </c:pt>
                <c:pt idx="11">
                  <c:v>0.54</c:v>
                </c:pt>
                <c:pt idx="12">
                  <c:v>0.49</c:v>
                </c:pt>
                <c:pt idx="13">
                  <c:v>0.27</c:v>
                </c:pt>
                <c:pt idx="14">
                  <c:v>0.27</c:v>
                </c:pt>
                <c:pt idx="15">
                  <c:v>0.48</c:v>
                </c:pt>
                <c:pt idx="16">
                  <c:v>0.3</c:v>
                </c:pt>
                <c:pt idx="17">
                  <c:v>0.26</c:v>
                </c:pt>
                <c:pt idx="18">
                  <c:v>0.33</c:v>
                </c:pt>
                <c:pt idx="19">
                  <c:v>0.23</c:v>
                </c:pt>
                <c:pt idx="20">
                  <c:v>0.4</c:v>
                </c:pt>
                <c:pt idx="21">
                  <c:v>0.45</c:v>
                </c:pt>
                <c:pt idx="22">
                  <c:v>0.37</c:v>
                </c:pt>
                <c:pt idx="23">
                  <c:v>0.47</c:v>
                </c:pt>
                <c:pt idx="24">
                  <c:v>0.32</c:v>
                </c:pt>
                <c:pt idx="25">
                  <c:v>0.55000000000000004</c:v>
                </c:pt>
                <c:pt idx="26">
                  <c:v>0.22</c:v>
                </c:pt>
                <c:pt idx="27">
                  <c:v>0.46</c:v>
                </c:pt>
                <c:pt idx="28">
                  <c:v>0.5</c:v>
                </c:pt>
                <c:pt idx="29">
                  <c:v>0.49</c:v>
                </c:pt>
                <c:pt idx="30">
                  <c:v>0.34</c:v>
                </c:pt>
                <c:pt idx="31">
                  <c:v>0.45</c:v>
                </c:pt>
                <c:pt idx="32">
                  <c:v>0.37</c:v>
                </c:pt>
                <c:pt idx="33">
                  <c:v>0.34</c:v>
                </c:pt>
                <c:pt idx="34">
                  <c:v>0.49</c:v>
                </c:pt>
                <c:pt idx="35">
                  <c:v>0.47</c:v>
                </c:pt>
                <c:pt idx="36">
                  <c:v>0.38</c:v>
                </c:pt>
                <c:pt idx="37">
                  <c:v>0.35</c:v>
                </c:pt>
                <c:pt idx="38">
                  <c:v>0.2</c:v>
                </c:pt>
                <c:pt idx="39">
                  <c:v>0.47</c:v>
                </c:pt>
                <c:pt idx="40">
                  <c:v>0.47</c:v>
                </c:pt>
                <c:pt idx="41">
                  <c:v>0.43</c:v>
                </c:pt>
                <c:pt idx="42">
                  <c:v>0.42</c:v>
                </c:pt>
                <c:pt idx="43">
                  <c:v>0.54</c:v>
                </c:pt>
                <c:pt idx="44">
                  <c:v>0.5</c:v>
                </c:pt>
                <c:pt idx="45">
                  <c:v>0.49</c:v>
                </c:pt>
                <c:pt idx="46">
                  <c:v>0.35</c:v>
                </c:pt>
                <c:pt idx="47">
                  <c:v>0.41</c:v>
                </c:pt>
                <c:pt idx="48">
                  <c:v>0.45</c:v>
                </c:pt>
                <c:pt idx="49">
                  <c:v>0.43</c:v>
                </c:pt>
                <c:pt idx="50">
                  <c:v>0.51</c:v>
                </c:pt>
                <c:pt idx="51">
                  <c:v>0.49</c:v>
                </c:pt>
                <c:pt idx="52">
                  <c:v>0.52</c:v>
                </c:pt>
                <c:pt idx="53">
                  <c:v>0.46</c:v>
                </c:pt>
                <c:pt idx="54">
                  <c:v>0.52</c:v>
                </c:pt>
                <c:pt idx="55">
                  <c:v>0.53</c:v>
                </c:pt>
                <c:pt idx="56">
                  <c:v>0.53</c:v>
                </c:pt>
              </c:numCache>
            </c:numRef>
          </c:xVal>
          <c:yVal>
            <c:numRef>
              <c:f>Analysis!$J$2:$J$58</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0-3831-43E4-B328-FF6D5A4CE026}"/>
            </c:ext>
          </c:extLst>
        </c:ser>
        <c:dLbls>
          <c:showLegendKey val="0"/>
          <c:showVal val="0"/>
          <c:showCatName val="0"/>
          <c:showSerName val="0"/>
          <c:showPercent val="0"/>
          <c:showBubbleSize val="0"/>
        </c:dLbls>
        <c:axId val="397623624"/>
        <c:axId val="397624680"/>
      </c:scatterChart>
      <c:valAx>
        <c:axId val="39762362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624680"/>
        <c:crosses val="autoZero"/>
        <c:crossBetween val="midCat"/>
      </c:valAx>
      <c:valAx>
        <c:axId val="3976246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Sum of Reviews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623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Rating vs Review</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5249759405074365"/>
          <c:y val="0.15310185185185185"/>
          <c:w val="0.81061351706036744"/>
          <c:h val="0.64734580052493451"/>
        </c:manualLayout>
      </c:layout>
      <c:scatterChart>
        <c:scatterStyle val="lineMarker"/>
        <c:varyColors val="0"/>
        <c:ser>
          <c:idx val="0"/>
          <c:order val="0"/>
          <c:tx>
            <c:strRef>
              <c:f>Analysis!$G$1</c:f>
              <c:strCache>
                <c:ptCount val="1"/>
                <c:pt idx="0">
                  <c:v>Review</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9.1814523184601926E-2"/>
                  <c:y val="-0.13121792067658208"/>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1" baseline="0"/>
                      <a:t>y = 0.6587x + 9.3326</a:t>
                    </a:r>
                    <a:br>
                      <a:rPr lang="en-US" b="1" baseline="0"/>
                    </a:br>
                    <a:r>
                      <a:rPr lang="en-US" b="1" baseline="0"/>
                      <a:t>R² = 0.0019</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Analysis!$F$2:$F$58</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xVal>
          <c:yVal>
            <c:numRef>
              <c:f>Analysis!$G$2:$G$58</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0-24FE-4502-A20C-7E4039A46692}"/>
            </c:ext>
          </c:extLst>
        </c:ser>
        <c:dLbls>
          <c:showLegendKey val="0"/>
          <c:showVal val="0"/>
          <c:showCatName val="0"/>
          <c:showSerName val="0"/>
          <c:showPercent val="0"/>
          <c:showBubbleSize val="0"/>
        </c:dLbls>
        <c:axId val="650234344"/>
        <c:axId val="650232232"/>
      </c:scatterChart>
      <c:valAx>
        <c:axId val="65023434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0232232"/>
        <c:crosses val="autoZero"/>
        <c:crossBetween val="midCat"/>
      </c:valAx>
      <c:valAx>
        <c:axId val="6502322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Total Reviews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0234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Current</a:t>
            </a:r>
            <a:r>
              <a:rPr lang="en-US" baseline="0"/>
              <a:t> Price(KSh) vs Rating</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983092738407699"/>
          <c:y val="0.16236111111111112"/>
          <c:w val="0.79787248468941385"/>
          <c:h val="0.60477945465150196"/>
        </c:manualLayout>
      </c:layout>
      <c:scatterChart>
        <c:scatterStyle val="lineMarker"/>
        <c:varyColors val="0"/>
        <c:ser>
          <c:idx val="0"/>
          <c:order val="0"/>
          <c:tx>
            <c:strRef>
              <c:f>Analysis!$M$1</c:f>
              <c:strCache>
                <c:ptCount val="1"/>
                <c:pt idx="0">
                  <c:v>Rating</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1.5746937882764656E-2"/>
                  <c:y val="0.12936533974919801"/>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sz="1000" b="1" baseline="0"/>
                      <a:t>y = 0.0001x + 3.7363</a:t>
                    </a:r>
                    <a:br>
                      <a:rPr lang="en-US" sz="1000" b="1" baseline="0"/>
                    </a:br>
                    <a:r>
                      <a:rPr lang="en-US" sz="1000" b="1" baseline="0"/>
                      <a:t>R² = 0.0121</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Analysis!$L$2:$L$58</c:f>
              <c:numCache>
                <c:formatCode>[$KSh]\ #,##0.00</c:formatCode>
                <c:ptCount val="57"/>
                <c:pt idx="0">
                  <c:v>1800</c:v>
                </c:pt>
                <c:pt idx="1">
                  <c:v>3750</c:v>
                </c:pt>
                <c:pt idx="2">
                  <c:v>3640</c:v>
                </c:pt>
                <c:pt idx="3">
                  <c:v>2999</c:v>
                </c:pt>
                <c:pt idx="4">
                  <c:v>2999</c:v>
                </c:pt>
                <c:pt idx="5">
                  <c:v>2880</c:v>
                </c:pt>
                <c:pt idx="6">
                  <c:v>2319</c:v>
                </c:pt>
                <c:pt idx="7">
                  <c:v>2300</c:v>
                </c:pt>
                <c:pt idx="8">
                  <c:v>2199</c:v>
                </c:pt>
                <c:pt idx="9">
                  <c:v>2170</c:v>
                </c:pt>
                <c:pt idx="10">
                  <c:v>2115</c:v>
                </c:pt>
                <c:pt idx="11">
                  <c:v>2048</c:v>
                </c:pt>
                <c:pt idx="12">
                  <c:v>2025</c:v>
                </c:pt>
                <c:pt idx="13">
                  <c:v>1980</c:v>
                </c:pt>
                <c:pt idx="14">
                  <c:v>1940</c:v>
                </c:pt>
                <c:pt idx="15">
                  <c:v>1820</c:v>
                </c:pt>
                <c:pt idx="16">
                  <c:v>1758</c:v>
                </c:pt>
                <c:pt idx="17">
                  <c:v>1740</c:v>
                </c:pt>
                <c:pt idx="18">
                  <c:v>1680</c:v>
                </c:pt>
                <c:pt idx="19">
                  <c:v>1650</c:v>
                </c:pt>
                <c:pt idx="20">
                  <c:v>1620</c:v>
                </c:pt>
                <c:pt idx="21">
                  <c:v>1600</c:v>
                </c:pt>
                <c:pt idx="22">
                  <c:v>1580</c:v>
                </c:pt>
                <c:pt idx="23">
                  <c:v>1570</c:v>
                </c:pt>
                <c:pt idx="24">
                  <c:v>1350</c:v>
                </c:pt>
                <c:pt idx="25">
                  <c:v>1274</c:v>
                </c:pt>
                <c:pt idx="26">
                  <c:v>1220</c:v>
                </c:pt>
                <c:pt idx="27">
                  <c:v>1189</c:v>
                </c:pt>
                <c:pt idx="28">
                  <c:v>1000</c:v>
                </c:pt>
                <c:pt idx="29">
                  <c:v>998</c:v>
                </c:pt>
                <c:pt idx="30">
                  <c:v>990</c:v>
                </c:pt>
                <c:pt idx="31">
                  <c:v>990</c:v>
                </c:pt>
                <c:pt idx="32">
                  <c:v>988</c:v>
                </c:pt>
                <c:pt idx="33">
                  <c:v>980</c:v>
                </c:pt>
                <c:pt idx="34">
                  <c:v>979</c:v>
                </c:pt>
                <c:pt idx="35">
                  <c:v>968</c:v>
                </c:pt>
                <c:pt idx="36">
                  <c:v>950</c:v>
                </c:pt>
                <c:pt idx="37">
                  <c:v>880</c:v>
                </c:pt>
                <c:pt idx="38">
                  <c:v>799</c:v>
                </c:pt>
                <c:pt idx="39">
                  <c:v>552</c:v>
                </c:pt>
                <c:pt idx="40">
                  <c:v>527</c:v>
                </c:pt>
                <c:pt idx="41">
                  <c:v>509</c:v>
                </c:pt>
                <c:pt idx="42">
                  <c:v>501</c:v>
                </c:pt>
                <c:pt idx="43">
                  <c:v>458</c:v>
                </c:pt>
                <c:pt idx="44">
                  <c:v>450</c:v>
                </c:pt>
                <c:pt idx="45">
                  <c:v>445</c:v>
                </c:pt>
                <c:pt idx="46">
                  <c:v>420</c:v>
                </c:pt>
                <c:pt idx="47">
                  <c:v>389</c:v>
                </c:pt>
                <c:pt idx="48">
                  <c:v>382</c:v>
                </c:pt>
                <c:pt idx="49">
                  <c:v>345</c:v>
                </c:pt>
                <c:pt idx="50">
                  <c:v>332</c:v>
                </c:pt>
                <c:pt idx="51">
                  <c:v>330</c:v>
                </c:pt>
                <c:pt idx="52">
                  <c:v>325</c:v>
                </c:pt>
                <c:pt idx="53">
                  <c:v>195</c:v>
                </c:pt>
                <c:pt idx="54">
                  <c:v>185</c:v>
                </c:pt>
                <c:pt idx="55">
                  <c:v>171</c:v>
                </c:pt>
                <c:pt idx="56">
                  <c:v>38</c:v>
                </c:pt>
              </c:numCache>
            </c:numRef>
          </c:xVal>
          <c:yVal>
            <c:numRef>
              <c:f>Analysis!$M$2:$M$58</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yVal>
          <c:smooth val="0"/>
          <c:extLst>
            <c:ext xmlns:c16="http://schemas.microsoft.com/office/drawing/2014/chart" uri="{C3380CC4-5D6E-409C-BE32-E72D297353CC}">
              <c16:uniqueId val="{00000000-7D1E-425D-AC20-F350442BBACB}"/>
            </c:ext>
          </c:extLst>
        </c:ser>
        <c:dLbls>
          <c:dLblPos val="t"/>
          <c:showLegendKey val="0"/>
          <c:showVal val="0"/>
          <c:showCatName val="0"/>
          <c:showSerName val="0"/>
          <c:showPercent val="0"/>
          <c:showBubbleSize val="0"/>
        </c:dLbls>
        <c:axId val="563908264"/>
        <c:axId val="563909672"/>
      </c:scatterChart>
      <c:valAx>
        <c:axId val="56390826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Current</a:t>
                </a:r>
                <a:r>
                  <a:rPr lang="en-GB" baseline="0"/>
                  <a:t> Price(KSh)</a:t>
                </a:r>
              </a:p>
              <a:p>
                <a:pPr>
                  <a:defRPr/>
                </a:pP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quot;K&quot;" sourceLinked="0"/>
        <c:majorTickMark val="none"/>
        <c:minorTickMark val="none"/>
        <c:tickLblPos val="nextTo"/>
        <c:spPr>
          <a:noFill/>
          <a:ln w="9525" cap="flat" cmpd="sng" algn="ctr">
            <a:solidFill>
              <a:schemeClr val="tx2">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3909672"/>
        <c:crosses val="autoZero"/>
        <c:crossBetween val="midCat"/>
      </c:valAx>
      <c:valAx>
        <c:axId val="5639096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Rating</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3908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[Excel_Jumia_Product_Analysis_Final.xlsx]Rating mix!PivotTable1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Mix</a:t>
            </a:r>
            <a:endParaRPr lang="en-US"/>
          </a:p>
        </c:rich>
      </c:tx>
      <c:overlay val="0"/>
      <c:spPr>
        <a:noFill/>
        <a:ln>
          <a:solidFill>
            <a:schemeClr val="accent1">
              <a:alpha val="98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'Rating mix'!$B$3</c:f>
              <c:strCache>
                <c:ptCount val="1"/>
                <c:pt idx="0">
                  <c:v>Total</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cat>
            <c:strRef>
              <c:f>'Rating mix'!$A$4:$A$8</c:f>
              <c:strCache>
                <c:ptCount val="4"/>
                <c:pt idx="0">
                  <c:v>Average</c:v>
                </c:pt>
                <c:pt idx="1">
                  <c:v>Excellent</c:v>
                </c:pt>
                <c:pt idx="2">
                  <c:v>Missing</c:v>
                </c:pt>
                <c:pt idx="3">
                  <c:v>Poor</c:v>
                </c:pt>
              </c:strCache>
            </c:strRef>
          </c:cat>
          <c:val>
            <c:numRef>
              <c:f>'Rating mix'!$B$4:$B$8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4B39-4BD1-B98F-BCDF9F24D4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[Excel_Jumia_Product_Analysis_Final.xlsx]Discount mix!PivotTable2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Mix</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7537182852144"/>
          <c:y val="0.22666447944006998"/>
          <c:w val="0.69602537182852142"/>
          <c:h val="0.5774660979877515"/>
        </c:manualLayout>
      </c:layout>
      <c:barChart>
        <c:barDir val="col"/>
        <c:grouping val="clustered"/>
        <c:varyColors val="0"/>
        <c:ser>
          <c:idx val="0"/>
          <c:order val="0"/>
          <c:tx>
            <c:strRef>
              <c:f>'Discount mix'!$B$3</c:f>
              <c:strCache>
                <c:ptCount val="1"/>
                <c:pt idx="0">
                  <c:v>Total</c:v>
                </c:pt>
              </c:strCache>
            </c:strRef>
          </c:tx>
          <c:spPr>
            <a:solidFill>
              <a:schemeClr val="accent2"/>
            </a:solidFill>
            <a:ln>
              <a:noFill/>
            </a:ln>
            <a:effectLst/>
          </c:spPr>
          <c:invertIfNegative val="0"/>
          <c:cat>
            <c:strRef>
              <c:f>'Discount mix'!$A$4:$A$7</c:f>
              <c:strCache>
                <c:ptCount val="3"/>
                <c:pt idx="0">
                  <c:v>High Discount</c:v>
                </c:pt>
                <c:pt idx="1">
                  <c:v>Low Discount</c:v>
                </c:pt>
                <c:pt idx="2">
                  <c:v>Medium Discount</c:v>
                </c:pt>
              </c:strCache>
            </c:strRef>
          </c:cat>
          <c:val>
            <c:numRef>
              <c:f>'Discount mix'!$B$4:$B$7</c:f>
              <c:numCache>
                <c:formatCode>General</c:formatCode>
                <c:ptCount val="3"/>
                <c:pt idx="0">
                  <c:v>62</c:v>
                </c:pt>
                <c:pt idx="1">
                  <c:v>18</c:v>
                </c:pt>
                <c:pt idx="2">
                  <c:v>32</c:v>
                </c:pt>
              </c:numCache>
            </c:numRef>
          </c:val>
          <c:extLst>
            <c:ext xmlns:c16="http://schemas.microsoft.com/office/drawing/2014/chart" uri="{C3380CC4-5D6E-409C-BE32-E72D297353CC}">
              <c16:uniqueId val="{00000000-2E60-4144-B2C1-E9CF44FAF150}"/>
            </c:ext>
          </c:extLst>
        </c:ser>
        <c:dLbls>
          <c:showLegendKey val="0"/>
          <c:showVal val="0"/>
          <c:showCatName val="0"/>
          <c:showSerName val="0"/>
          <c:showPercent val="0"/>
          <c:showBubbleSize val="0"/>
        </c:dLbls>
        <c:gapWidth val="219"/>
        <c:overlap val="-27"/>
        <c:axId val="656282448"/>
        <c:axId val="656280688"/>
      </c:barChart>
      <c:catAx>
        <c:axId val="656282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r>
                  <a:rPr lang="en-GB" baseline="0"/>
                  <a:t> Category</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0688"/>
        <c:crosses val="autoZero"/>
        <c:auto val="1"/>
        <c:lblAlgn val="ctr"/>
        <c:lblOffset val="100"/>
        <c:noMultiLvlLbl val="0"/>
      </c:catAx>
      <c:valAx>
        <c:axId val="65628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Products</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[Excel_Jumia_Product_Analysis_Final.xlsx]Price vs Rating!PivotTable3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3937007874015"/>
          <c:y val="0.21235892388451444"/>
          <c:w val="0.82490507436570426"/>
          <c:h val="0.58809091571886851"/>
        </c:manualLayout>
      </c:layout>
      <c:barChart>
        <c:barDir val="col"/>
        <c:grouping val="clustered"/>
        <c:varyColors val="0"/>
        <c:ser>
          <c:idx val="0"/>
          <c:order val="0"/>
          <c:tx>
            <c:strRef>
              <c:f>'Price vs Rating'!$B$3</c:f>
              <c:strCache>
                <c:ptCount val="1"/>
                <c:pt idx="0">
                  <c:v>Total</c:v>
                </c:pt>
              </c:strCache>
            </c:strRef>
          </c:tx>
          <c:spPr>
            <a:solidFill>
              <a:schemeClr val="accent2"/>
            </a:solidFill>
            <a:ln>
              <a:noFill/>
            </a:ln>
            <a:effectLst/>
          </c:spPr>
          <c:invertIfNegative val="0"/>
          <c:cat>
            <c:strRef>
              <c:f>'Price vs Rating'!$A$4:$A$7</c:f>
              <c:strCache>
                <c:ptCount val="3"/>
                <c:pt idx="0">
                  <c:v>High Price</c:v>
                </c:pt>
                <c:pt idx="1">
                  <c:v>Low Price</c:v>
                </c:pt>
                <c:pt idx="2">
                  <c:v>Medium Price</c:v>
                </c:pt>
              </c:strCache>
            </c:strRef>
          </c:cat>
          <c:val>
            <c:numRef>
              <c:f>'Price vs Rating'!$B$4:$B$7</c:f>
              <c:numCache>
                <c:formatCode>0.00</c:formatCode>
                <c:ptCount val="3"/>
                <c:pt idx="0">
                  <c:v>4.0842105263157888</c:v>
                </c:pt>
                <c:pt idx="1">
                  <c:v>3.6357142857142857</c:v>
                </c:pt>
                <c:pt idx="2">
                  <c:v>3.8833333333333329</c:v>
                </c:pt>
              </c:numCache>
            </c:numRef>
          </c:val>
          <c:extLst>
            <c:ext xmlns:c16="http://schemas.microsoft.com/office/drawing/2014/chart" uri="{C3380CC4-5D6E-409C-BE32-E72D297353CC}">
              <c16:uniqueId val="{00000000-B201-4051-BC21-6053ECA6675C}"/>
            </c:ext>
          </c:extLst>
        </c:ser>
        <c:dLbls>
          <c:showLegendKey val="0"/>
          <c:showVal val="0"/>
          <c:showCatName val="0"/>
          <c:showSerName val="0"/>
          <c:showPercent val="0"/>
          <c:showBubbleSize val="0"/>
        </c:dLbls>
        <c:gapWidth val="219"/>
        <c:overlap val="-27"/>
        <c:axId val="764365856"/>
        <c:axId val="734988464"/>
      </c:barChart>
      <c:catAx>
        <c:axId val="76436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a:t>
                </a:r>
                <a:r>
                  <a:rPr lang="en-GB" baseline="0"/>
                  <a:t> Category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88464"/>
        <c:crosses val="autoZero"/>
        <c:auto val="1"/>
        <c:lblAlgn val="ctr"/>
        <c:lblOffset val="100"/>
        <c:noMultiLvlLbl val="0"/>
      </c:catAx>
      <c:valAx>
        <c:axId val="73498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Rating</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6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[Excel_Jumia_Product_Analysis_Final.xlsx]Customer Engagement by discount!PivotTable4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Engagement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3937007874015"/>
          <c:y val="0.25402559055118112"/>
          <c:w val="0.83140507436570432"/>
          <c:h val="0.54179461942257223"/>
        </c:manualLayout>
      </c:layout>
      <c:barChart>
        <c:barDir val="col"/>
        <c:grouping val="clustered"/>
        <c:varyColors val="0"/>
        <c:ser>
          <c:idx val="0"/>
          <c:order val="0"/>
          <c:tx>
            <c:strRef>
              <c:f>'Customer Engagement by discount'!$B$3</c:f>
              <c:strCache>
                <c:ptCount val="1"/>
                <c:pt idx="0">
                  <c:v>Total</c:v>
                </c:pt>
              </c:strCache>
            </c:strRef>
          </c:tx>
          <c:spPr>
            <a:solidFill>
              <a:schemeClr val="accent2"/>
            </a:solidFill>
            <a:ln>
              <a:noFill/>
            </a:ln>
            <a:effectLst/>
          </c:spPr>
          <c:invertIfNegative val="0"/>
          <c:cat>
            <c:strRef>
              <c:f>'Customer Engagement by discount'!$A$4:$A$7</c:f>
              <c:strCache>
                <c:ptCount val="3"/>
                <c:pt idx="0">
                  <c:v>High Discount</c:v>
                </c:pt>
                <c:pt idx="1">
                  <c:v>Low Discount</c:v>
                </c:pt>
                <c:pt idx="2">
                  <c:v>Medium Discount</c:v>
                </c:pt>
              </c:strCache>
            </c:strRef>
          </c:cat>
          <c:val>
            <c:numRef>
              <c:f>'Customer Engagement by discount'!$B$4:$B$7</c:f>
              <c:numCache>
                <c:formatCode>General</c:formatCode>
                <c:ptCount val="3"/>
                <c:pt idx="0">
                  <c:v>325</c:v>
                </c:pt>
                <c:pt idx="1">
                  <c:v>38</c:v>
                </c:pt>
                <c:pt idx="2">
                  <c:v>315</c:v>
                </c:pt>
              </c:numCache>
            </c:numRef>
          </c:val>
          <c:extLst>
            <c:ext xmlns:c16="http://schemas.microsoft.com/office/drawing/2014/chart" uri="{C3380CC4-5D6E-409C-BE32-E72D297353CC}">
              <c16:uniqueId val="{00000000-BC0A-4D54-9EBD-C6FB956A5064}"/>
            </c:ext>
          </c:extLst>
        </c:ser>
        <c:dLbls>
          <c:showLegendKey val="0"/>
          <c:showVal val="0"/>
          <c:showCatName val="0"/>
          <c:showSerName val="0"/>
          <c:showPercent val="0"/>
          <c:showBubbleSize val="0"/>
        </c:dLbls>
        <c:gapWidth val="219"/>
        <c:overlap val="-27"/>
        <c:axId val="750623904"/>
        <c:axId val="750620032"/>
      </c:barChart>
      <c:catAx>
        <c:axId val="75062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r>
                  <a:rPr lang="en-GB" baseline="0"/>
                  <a:t> Category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20032"/>
        <c:crosses val="autoZero"/>
        <c:auto val="1"/>
        <c:lblAlgn val="ctr"/>
        <c:lblOffset val="100"/>
        <c:noMultiLvlLbl val="0"/>
      </c:catAx>
      <c:valAx>
        <c:axId val="750620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Reviews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[Excel_Jumia_Product_Analysis_Final.xlsx]Top 10 Products by Rating!PivotTable5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layout>
        <c:manualLayout>
          <c:xMode val="edge"/>
          <c:yMode val="edge"/>
          <c:x val="0.34852077865266839"/>
          <c:y val="3.4995625546806658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620844269466319"/>
          <c:y val="0.18356044036162147"/>
          <c:w val="0.39686835936951731"/>
          <c:h val="0.63901684164479444"/>
        </c:manualLayout>
      </c:layout>
      <c:barChart>
        <c:barDir val="bar"/>
        <c:grouping val="clustered"/>
        <c:varyColors val="0"/>
        <c:ser>
          <c:idx val="0"/>
          <c:order val="0"/>
          <c:tx>
            <c:strRef>
              <c:f>'Top 10 Products by Rating'!$B$3</c:f>
              <c:strCache>
                <c:ptCount val="1"/>
                <c:pt idx="0">
                  <c:v>Total</c:v>
                </c:pt>
              </c:strCache>
            </c:strRef>
          </c:tx>
          <c:spPr>
            <a:solidFill>
              <a:schemeClr val="accent2"/>
            </a:solidFill>
            <a:ln>
              <a:noFill/>
            </a:ln>
            <a:effectLst/>
          </c:spPr>
          <c:invertIfNegative val="0"/>
          <c:cat>
            <c:strRef>
              <c:f>'Top 10 Products by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 10 Products by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4469-4FB9-98EC-AE4E772C1EC0}"/>
            </c:ext>
          </c:extLst>
        </c:ser>
        <c:dLbls>
          <c:showLegendKey val="0"/>
          <c:showVal val="0"/>
          <c:showCatName val="0"/>
          <c:showSerName val="0"/>
          <c:showPercent val="0"/>
          <c:showBubbleSize val="0"/>
        </c:dLbls>
        <c:gapWidth val="182"/>
        <c:axId val="750585536"/>
        <c:axId val="750585888"/>
      </c:barChart>
      <c:catAx>
        <c:axId val="750585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5888"/>
        <c:crosses val="autoZero"/>
        <c:auto val="1"/>
        <c:lblAlgn val="ctr"/>
        <c:lblOffset val="100"/>
        <c:noMultiLvlLbl val="0"/>
      </c:catAx>
      <c:valAx>
        <c:axId val="750585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Rating</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[Excel_Jumia_Product_Analysis_Final.xlsx]Top 10 Products by Reviews!PivotTable7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Reviews'!$B$3</c:f>
              <c:strCache>
                <c:ptCount val="1"/>
                <c:pt idx="0">
                  <c:v>Total</c:v>
                </c:pt>
              </c:strCache>
            </c:strRef>
          </c:tx>
          <c:spPr>
            <a:solidFill>
              <a:schemeClr val="accent2"/>
            </a:solidFill>
            <a:ln>
              <a:noFill/>
            </a:ln>
            <a:effectLst/>
          </c:spPr>
          <c:invertIfNegative val="0"/>
          <c:cat>
            <c:strRef>
              <c:f>'Top 10 Products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Cache>
            </c:strRef>
          </c:cat>
          <c:val>
            <c:numRef>
              <c:f>'Top 10 Products by Reviews'!$B$4:$B$14</c:f>
              <c:numCache>
                <c:formatCode>General</c:formatCode>
                <c:ptCount val="10"/>
                <c:pt idx="0">
                  <c:v>69</c:v>
                </c:pt>
                <c:pt idx="1">
                  <c:v>55</c:v>
                </c:pt>
                <c:pt idx="2">
                  <c:v>49</c:v>
                </c:pt>
                <c:pt idx="3">
                  <c:v>44</c:v>
                </c:pt>
                <c:pt idx="4">
                  <c:v>39</c:v>
                </c:pt>
                <c:pt idx="5">
                  <c:v>36</c:v>
                </c:pt>
                <c:pt idx="6">
                  <c:v>32</c:v>
                </c:pt>
                <c:pt idx="7">
                  <c:v>24</c:v>
                </c:pt>
                <c:pt idx="8">
                  <c:v>17</c:v>
                </c:pt>
                <c:pt idx="9">
                  <c:v>16</c:v>
                </c:pt>
              </c:numCache>
            </c:numRef>
          </c:val>
          <c:extLst>
            <c:ext xmlns:c16="http://schemas.microsoft.com/office/drawing/2014/chart" uri="{C3380CC4-5D6E-409C-BE32-E72D297353CC}">
              <c16:uniqueId val="{00000000-6B2E-46D9-B4D2-803D3F2681B2}"/>
            </c:ext>
          </c:extLst>
        </c:ser>
        <c:dLbls>
          <c:showLegendKey val="0"/>
          <c:showVal val="0"/>
          <c:showCatName val="0"/>
          <c:showSerName val="0"/>
          <c:showPercent val="0"/>
          <c:showBubbleSize val="0"/>
        </c:dLbls>
        <c:gapWidth val="182"/>
        <c:axId val="750169376"/>
        <c:axId val="750167264"/>
      </c:barChart>
      <c:catAx>
        <c:axId val="75016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7264"/>
        <c:crosses val="autoZero"/>
        <c:auto val="1"/>
        <c:lblAlgn val="ctr"/>
        <c:lblOffset val="100"/>
        <c:noMultiLvlLbl val="0"/>
      </c:catAx>
      <c:valAx>
        <c:axId val="750167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Reviews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[Excel_Jumia_Product_Analysis_Final.xlsx]Top 10 by Products by Discount!PivotTable8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by Products by Discount'!$B$3</c:f>
              <c:strCache>
                <c:ptCount val="1"/>
                <c:pt idx="0">
                  <c:v>Total</c:v>
                </c:pt>
              </c:strCache>
            </c:strRef>
          </c:tx>
          <c:spPr>
            <a:solidFill>
              <a:schemeClr val="accent2"/>
            </a:solidFill>
            <a:ln>
              <a:noFill/>
            </a:ln>
            <a:effectLst/>
          </c:spPr>
          <c:invertIfNegative val="0"/>
          <c:cat>
            <c:strRef>
              <c:f>'Top 10 by Products by Discount'!$A$4:$A$14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'Top 10 by Products by Discount'!$B$4:$B$14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C203-4685-A773-351EEB702DEC}"/>
            </c:ext>
          </c:extLst>
        </c:ser>
        <c:dLbls>
          <c:showLegendKey val="0"/>
          <c:showVal val="0"/>
          <c:showCatName val="0"/>
          <c:showSerName val="0"/>
          <c:showPercent val="0"/>
          <c:showBubbleSize val="0"/>
        </c:dLbls>
        <c:gapWidth val="182"/>
        <c:axId val="883515712"/>
        <c:axId val="883512544"/>
      </c:barChart>
      <c:catAx>
        <c:axId val="88351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12544"/>
        <c:crosses val="autoZero"/>
        <c:auto val="1"/>
        <c:lblAlgn val="ctr"/>
        <c:lblOffset val="100"/>
        <c:noMultiLvlLbl val="0"/>
      </c:catAx>
      <c:valAx>
        <c:axId val="883512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Discount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1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[Excel_Jumia_Product_Analysis_Final.xlsx]Top 10 Products by Rating!PivotTable5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layout>
        <c:manualLayout>
          <c:xMode val="edge"/>
          <c:yMode val="edge"/>
          <c:x val="0.34852077865266839"/>
          <c:y val="3.4995625546806658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620844269466319"/>
          <c:y val="0.18356044036162147"/>
          <c:w val="0.39686835936951731"/>
          <c:h val="0.63901684164479444"/>
        </c:manualLayout>
      </c:layout>
      <c:barChart>
        <c:barDir val="bar"/>
        <c:grouping val="clustered"/>
        <c:varyColors val="0"/>
        <c:ser>
          <c:idx val="0"/>
          <c:order val="0"/>
          <c:tx>
            <c:strRef>
              <c:f>'Top 10 Products by Rating'!$B$3</c:f>
              <c:strCache>
                <c:ptCount val="1"/>
                <c:pt idx="0">
                  <c:v>Total</c:v>
                </c:pt>
              </c:strCache>
            </c:strRef>
          </c:tx>
          <c:spPr>
            <a:solidFill>
              <a:schemeClr val="accent2"/>
            </a:solidFill>
            <a:ln>
              <a:noFill/>
            </a:ln>
            <a:effectLst/>
          </c:spPr>
          <c:invertIfNegative val="0"/>
          <c:cat>
            <c:strRef>
              <c:f>'Top 10 Products by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 10 Products by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C792-4CFC-ADCC-9BA624999FAA}"/>
            </c:ext>
          </c:extLst>
        </c:ser>
        <c:dLbls>
          <c:showLegendKey val="0"/>
          <c:showVal val="0"/>
          <c:showCatName val="0"/>
          <c:showSerName val="0"/>
          <c:showPercent val="0"/>
          <c:showBubbleSize val="0"/>
        </c:dLbls>
        <c:gapWidth val="182"/>
        <c:axId val="750585536"/>
        <c:axId val="750585888"/>
      </c:barChart>
      <c:catAx>
        <c:axId val="750585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5888"/>
        <c:crosses val="autoZero"/>
        <c:auto val="1"/>
        <c:lblAlgn val="ctr"/>
        <c:lblOffset val="100"/>
        <c:noMultiLvlLbl val="0"/>
      </c:catAx>
      <c:valAx>
        <c:axId val="750585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Rating</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[Excel_Jumia_Product_Analysis_Final.xlsx]Top 10 Products by Reviews!PivotTable7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layout>
        <c:manualLayout>
          <c:xMode val="edge"/>
          <c:yMode val="edge"/>
          <c:x val="0.3051596675415572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Reviews'!$B$3</c:f>
              <c:strCache>
                <c:ptCount val="1"/>
                <c:pt idx="0">
                  <c:v>Total</c:v>
                </c:pt>
              </c:strCache>
            </c:strRef>
          </c:tx>
          <c:spPr>
            <a:solidFill>
              <a:schemeClr val="accent2"/>
            </a:solidFill>
            <a:ln>
              <a:noFill/>
            </a:ln>
            <a:effectLst/>
          </c:spPr>
          <c:invertIfNegative val="0"/>
          <c:cat>
            <c:strRef>
              <c:f>'Top 10 Products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Cache>
            </c:strRef>
          </c:cat>
          <c:val>
            <c:numRef>
              <c:f>'Top 10 Products by Reviews'!$B$4:$B$14</c:f>
              <c:numCache>
                <c:formatCode>General</c:formatCode>
                <c:ptCount val="10"/>
                <c:pt idx="0">
                  <c:v>69</c:v>
                </c:pt>
                <c:pt idx="1">
                  <c:v>55</c:v>
                </c:pt>
                <c:pt idx="2">
                  <c:v>49</c:v>
                </c:pt>
                <c:pt idx="3">
                  <c:v>44</c:v>
                </c:pt>
                <c:pt idx="4">
                  <c:v>39</c:v>
                </c:pt>
                <c:pt idx="5">
                  <c:v>36</c:v>
                </c:pt>
                <c:pt idx="6">
                  <c:v>32</c:v>
                </c:pt>
                <c:pt idx="7">
                  <c:v>24</c:v>
                </c:pt>
                <c:pt idx="8">
                  <c:v>17</c:v>
                </c:pt>
                <c:pt idx="9">
                  <c:v>16</c:v>
                </c:pt>
              </c:numCache>
            </c:numRef>
          </c:val>
          <c:extLst>
            <c:ext xmlns:c16="http://schemas.microsoft.com/office/drawing/2014/chart" uri="{C3380CC4-5D6E-409C-BE32-E72D297353CC}">
              <c16:uniqueId val="{00000000-D2A2-4C06-A81D-DC41BEF749FE}"/>
            </c:ext>
          </c:extLst>
        </c:ser>
        <c:dLbls>
          <c:showLegendKey val="0"/>
          <c:showVal val="0"/>
          <c:showCatName val="0"/>
          <c:showSerName val="0"/>
          <c:showPercent val="0"/>
          <c:showBubbleSize val="0"/>
        </c:dLbls>
        <c:gapWidth val="182"/>
        <c:axId val="750169376"/>
        <c:axId val="750167264"/>
      </c:barChart>
      <c:catAx>
        <c:axId val="75016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7264"/>
        <c:crosses val="autoZero"/>
        <c:auto val="1"/>
        <c:lblAlgn val="ctr"/>
        <c:lblOffset val="100"/>
        <c:noMultiLvlLbl val="0"/>
      </c:catAx>
      <c:valAx>
        <c:axId val="750167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Reviews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[Excel_Jumia_Product_Analysis_Final.xlsx]Top 10 by Products by Discount!PivotTable8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by Products by Discount'!$B$3</c:f>
              <c:strCache>
                <c:ptCount val="1"/>
                <c:pt idx="0">
                  <c:v>Total</c:v>
                </c:pt>
              </c:strCache>
            </c:strRef>
          </c:tx>
          <c:spPr>
            <a:solidFill>
              <a:schemeClr val="accent2"/>
            </a:solidFill>
            <a:ln>
              <a:noFill/>
            </a:ln>
            <a:effectLst/>
          </c:spPr>
          <c:invertIfNegative val="0"/>
          <c:cat>
            <c:strRef>
              <c:f>'Top 10 by Products by Discount'!$A$4:$A$14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'Top 10 by Products by Discount'!$B$4:$B$14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DBBF-4BFE-BAE8-8BE5258254AC}"/>
            </c:ext>
          </c:extLst>
        </c:ser>
        <c:dLbls>
          <c:showLegendKey val="0"/>
          <c:showVal val="0"/>
          <c:showCatName val="0"/>
          <c:showSerName val="0"/>
          <c:showPercent val="0"/>
          <c:showBubbleSize val="0"/>
        </c:dLbls>
        <c:gapWidth val="182"/>
        <c:axId val="883515712"/>
        <c:axId val="883512544"/>
      </c:barChart>
      <c:catAx>
        <c:axId val="88351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12544"/>
        <c:crosses val="autoZero"/>
        <c:auto val="1"/>
        <c:lblAlgn val="ctr"/>
        <c:lblOffset val="100"/>
        <c:noMultiLvlLbl val="0"/>
      </c:catAx>
      <c:valAx>
        <c:axId val="883512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Discount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1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Discount vs Review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Analysis!$J$1</c:f>
              <c:strCache>
                <c:ptCount val="1"/>
                <c:pt idx="0">
                  <c:v>Review</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1.5585301837270341E-2"/>
                  <c:y val="-0.12580198308544766"/>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1" baseline="0"/>
                      <a:t>y = -13.431x + 17.128</a:t>
                    </a:r>
                    <a:br>
                      <a:rPr lang="en-US" b="1" baseline="0"/>
                    </a:br>
                    <a:r>
                      <a:rPr lang="en-US" b="1" baseline="0"/>
                      <a:t>R² = 0.0123</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Analysis!$I$2:$I$58</c:f>
              <c:numCache>
                <c:formatCode>0%</c:formatCode>
                <c:ptCount val="57"/>
                <c:pt idx="0">
                  <c:v>0.38</c:v>
                </c:pt>
                <c:pt idx="1">
                  <c:v>0.39</c:v>
                </c:pt>
                <c:pt idx="2">
                  <c:v>0.21</c:v>
                </c:pt>
                <c:pt idx="3">
                  <c:v>0.09</c:v>
                </c:pt>
                <c:pt idx="4">
                  <c:v>0.19</c:v>
                </c:pt>
                <c:pt idx="5">
                  <c:v>0.18</c:v>
                </c:pt>
                <c:pt idx="6">
                  <c:v>0.24</c:v>
                </c:pt>
                <c:pt idx="7">
                  <c:v>0.28999999999999998</c:v>
                </c:pt>
                <c:pt idx="8">
                  <c:v>0.25</c:v>
                </c:pt>
                <c:pt idx="9">
                  <c:v>0.13</c:v>
                </c:pt>
                <c:pt idx="10">
                  <c:v>0.55000000000000004</c:v>
                </c:pt>
                <c:pt idx="11">
                  <c:v>0.54</c:v>
                </c:pt>
                <c:pt idx="12">
                  <c:v>0.49</c:v>
                </c:pt>
                <c:pt idx="13">
                  <c:v>0.27</c:v>
                </c:pt>
                <c:pt idx="14">
                  <c:v>0.27</c:v>
                </c:pt>
                <c:pt idx="15">
                  <c:v>0.48</c:v>
                </c:pt>
                <c:pt idx="16">
                  <c:v>0.3</c:v>
                </c:pt>
                <c:pt idx="17">
                  <c:v>0.26</c:v>
                </c:pt>
                <c:pt idx="18">
                  <c:v>0.33</c:v>
                </c:pt>
                <c:pt idx="19">
                  <c:v>0.23</c:v>
                </c:pt>
                <c:pt idx="20">
                  <c:v>0.4</c:v>
                </c:pt>
                <c:pt idx="21">
                  <c:v>0.45</c:v>
                </c:pt>
                <c:pt idx="22">
                  <c:v>0.37</c:v>
                </c:pt>
                <c:pt idx="23">
                  <c:v>0.47</c:v>
                </c:pt>
                <c:pt idx="24">
                  <c:v>0.32</c:v>
                </c:pt>
                <c:pt idx="25">
                  <c:v>0.55000000000000004</c:v>
                </c:pt>
                <c:pt idx="26">
                  <c:v>0.22</c:v>
                </c:pt>
                <c:pt idx="27">
                  <c:v>0.46</c:v>
                </c:pt>
                <c:pt idx="28">
                  <c:v>0.5</c:v>
                </c:pt>
                <c:pt idx="29">
                  <c:v>0.49</c:v>
                </c:pt>
                <c:pt idx="30">
                  <c:v>0.34</c:v>
                </c:pt>
                <c:pt idx="31">
                  <c:v>0.45</c:v>
                </c:pt>
                <c:pt idx="32">
                  <c:v>0.37</c:v>
                </c:pt>
                <c:pt idx="33">
                  <c:v>0.34</c:v>
                </c:pt>
                <c:pt idx="34">
                  <c:v>0.49</c:v>
                </c:pt>
                <c:pt idx="35">
                  <c:v>0.47</c:v>
                </c:pt>
                <c:pt idx="36">
                  <c:v>0.38</c:v>
                </c:pt>
                <c:pt idx="37">
                  <c:v>0.35</c:v>
                </c:pt>
                <c:pt idx="38">
                  <c:v>0.2</c:v>
                </c:pt>
                <c:pt idx="39">
                  <c:v>0.47</c:v>
                </c:pt>
                <c:pt idx="40">
                  <c:v>0.47</c:v>
                </c:pt>
                <c:pt idx="41">
                  <c:v>0.43</c:v>
                </c:pt>
                <c:pt idx="42">
                  <c:v>0.42</c:v>
                </c:pt>
                <c:pt idx="43">
                  <c:v>0.54</c:v>
                </c:pt>
                <c:pt idx="44">
                  <c:v>0.5</c:v>
                </c:pt>
                <c:pt idx="45">
                  <c:v>0.49</c:v>
                </c:pt>
                <c:pt idx="46">
                  <c:v>0.35</c:v>
                </c:pt>
                <c:pt idx="47">
                  <c:v>0.41</c:v>
                </c:pt>
                <c:pt idx="48">
                  <c:v>0.45</c:v>
                </c:pt>
                <c:pt idx="49">
                  <c:v>0.43</c:v>
                </c:pt>
                <c:pt idx="50">
                  <c:v>0.51</c:v>
                </c:pt>
                <c:pt idx="51">
                  <c:v>0.49</c:v>
                </c:pt>
                <c:pt idx="52">
                  <c:v>0.52</c:v>
                </c:pt>
                <c:pt idx="53">
                  <c:v>0.46</c:v>
                </c:pt>
                <c:pt idx="54">
                  <c:v>0.52</c:v>
                </c:pt>
                <c:pt idx="55">
                  <c:v>0.53</c:v>
                </c:pt>
                <c:pt idx="56">
                  <c:v>0.53</c:v>
                </c:pt>
              </c:numCache>
            </c:numRef>
          </c:xVal>
          <c:yVal>
            <c:numRef>
              <c:f>Analysis!$J$2:$J$58</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1-A52E-42AE-9052-AEE2AA2E986E}"/>
            </c:ext>
          </c:extLst>
        </c:ser>
        <c:dLbls>
          <c:showLegendKey val="0"/>
          <c:showVal val="0"/>
          <c:showCatName val="0"/>
          <c:showSerName val="0"/>
          <c:showPercent val="0"/>
          <c:showBubbleSize val="0"/>
        </c:dLbls>
        <c:axId val="397623624"/>
        <c:axId val="397624680"/>
      </c:scatterChart>
      <c:valAx>
        <c:axId val="39762362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624680"/>
        <c:crosses val="autoZero"/>
        <c:crossBetween val="midCat"/>
      </c:valAx>
      <c:valAx>
        <c:axId val="3976246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Sum of Reviews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623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Rating vs Review</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5249759405074365"/>
          <c:y val="0.15310185185185185"/>
          <c:w val="0.81061351706036744"/>
          <c:h val="0.64734580052493451"/>
        </c:manualLayout>
      </c:layout>
      <c:scatterChart>
        <c:scatterStyle val="lineMarker"/>
        <c:varyColors val="0"/>
        <c:ser>
          <c:idx val="0"/>
          <c:order val="0"/>
          <c:tx>
            <c:strRef>
              <c:f>Analysis!$G$1</c:f>
              <c:strCache>
                <c:ptCount val="1"/>
                <c:pt idx="0">
                  <c:v>Review</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9.1814523184601926E-2"/>
                  <c:y val="-0.13121792067658208"/>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1" baseline="0"/>
                      <a:t>y = 0.6587x + 9.3326</a:t>
                    </a:r>
                    <a:br>
                      <a:rPr lang="en-US" b="1" baseline="0"/>
                    </a:br>
                    <a:r>
                      <a:rPr lang="en-US" b="1" baseline="0"/>
                      <a:t>R² = 0.0019</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Analysis!$F$2:$F$58</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xVal>
          <c:yVal>
            <c:numRef>
              <c:f>Analysis!$G$2:$G$58</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1-6508-4A43-AAB3-2BE6B1E8E05D}"/>
            </c:ext>
          </c:extLst>
        </c:ser>
        <c:dLbls>
          <c:showLegendKey val="0"/>
          <c:showVal val="0"/>
          <c:showCatName val="0"/>
          <c:showSerName val="0"/>
          <c:showPercent val="0"/>
          <c:showBubbleSize val="0"/>
        </c:dLbls>
        <c:axId val="650234344"/>
        <c:axId val="650232232"/>
      </c:scatterChart>
      <c:valAx>
        <c:axId val="65023434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0232232"/>
        <c:crosses val="autoZero"/>
        <c:crossBetween val="midCat"/>
      </c:valAx>
      <c:valAx>
        <c:axId val="6502322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Total Reviews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0234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Current</a:t>
            </a:r>
            <a:r>
              <a:rPr lang="en-US" baseline="0"/>
              <a:t> Price(KSh) vs Rating</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983092738407699"/>
          <c:y val="0.16236111111111112"/>
          <c:w val="0.79787248468941385"/>
          <c:h val="0.60477945465150196"/>
        </c:manualLayout>
      </c:layout>
      <c:scatterChart>
        <c:scatterStyle val="lineMarker"/>
        <c:varyColors val="0"/>
        <c:ser>
          <c:idx val="0"/>
          <c:order val="0"/>
          <c:tx>
            <c:strRef>
              <c:f>Analysis!$M$1</c:f>
              <c:strCache>
                <c:ptCount val="1"/>
                <c:pt idx="0">
                  <c:v>Rating</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1.5746937882764656E-2"/>
                  <c:y val="0.12936533974919801"/>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sz="1000" b="1" baseline="0"/>
                      <a:t>y = 0.0001x + 3.7363</a:t>
                    </a:r>
                    <a:br>
                      <a:rPr lang="en-US" sz="1000" b="1" baseline="0"/>
                    </a:br>
                    <a:r>
                      <a:rPr lang="en-US" sz="1000" b="1" baseline="0"/>
                      <a:t>R² = 0.0121</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Analysis!$L$2:$L$58</c:f>
              <c:numCache>
                <c:formatCode>[$KSh]\ #,##0.00</c:formatCode>
                <c:ptCount val="57"/>
                <c:pt idx="0">
                  <c:v>1800</c:v>
                </c:pt>
                <c:pt idx="1">
                  <c:v>3750</c:v>
                </c:pt>
                <c:pt idx="2">
                  <c:v>3640</c:v>
                </c:pt>
                <c:pt idx="3">
                  <c:v>2999</c:v>
                </c:pt>
                <c:pt idx="4">
                  <c:v>2999</c:v>
                </c:pt>
                <c:pt idx="5">
                  <c:v>2880</c:v>
                </c:pt>
                <c:pt idx="6">
                  <c:v>2319</c:v>
                </c:pt>
                <c:pt idx="7">
                  <c:v>2300</c:v>
                </c:pt>
                <c:pt idx="8">
                  <c:v>2199</c:v>
                </c:pt>
                <c:pt idx="9">
                  <c:v>2170</c:v>
                </c:pt>
                <c:pt idx="10">
                  <c:v>2115</c:v>
                </c:pt>
                <c:pt idx="11">
                  <c:v>2048</c:v>
                </c:pt>
                <c:pt idx="12">
                  <c:v>2025</c:v>
                </c:pt>
                <c:pt idx="13">
                  <c:v>1980</c:v>
                </c:pt>
                <c:pt idx="14">
                  <c:v>1940</c:v>
                </c:pt>
                <c:pt idx="15">
                  <c:v>1820</c:v>
                </c:pt>
                <c:pt idx="16">
                  <c:v>1758</c:v>
                </c:pt>
                <c:pt idx="17">
                  <c:v>1740</c:v>
                </c:pt>
                <c:pt idx="18">
                  <c:v>1680</c:v>
                </c:pt>
                <c:pt idx="19">
                  <c:v>1650</c:v>
                </c:pt>
                <c:pt idx="20">
                  <c:v>1620</c:v>
                </c:pt>
                <c:pt idx="21">
                  <c:v>1600</c:v>
                </c:pt>
                <c:pt idx="22">
                  <c:v>1580</c:v>
                </c:pt>
                <c:pt idx="23">
                  <c:v>1570</c:v>
                </c:pt>
                <c:pt idx="24">
                  <c:v>1350</c:v>
                </c:pt>
                <c:pt idx="25">
                  <c:v>1274</c:v>
                </c:pt>
                <c:pt idx="26">
                  <c:v>1220</c:v>
                </c:pt>
                <c:pt idx="27">
                  <c:v>1189</c:v>
                </c:pt>
                <c:pt idx="28">
                  <c:v>1000</c:v>
                </c:pt>
                <c:pt idx="29">
                  <c:v>998</c:v>
                </c:pt>
                <c:pt idx="30">
                  <c:v>990</c:v>
                </c:pt>
                <c:pt idx="31">
                  <c:v>990</c:v>
                </c:pt>
                <c:pt idx="32">
                  <c:v>988</c:v>
                </c:pt>
                <c:pt idx="33">
                  <c:v>980</c:v>
                </c:pt>
                <c:pt idx="34">
                  <c:v>979</c:v>
                </c:pt>
                <c:pt idx="35">
                  <c:v>968</c:v>
                </c:pt>
                <c:pt idx="36">
                  <c:v>950</c:v>
                </c:pt>
                <c:pt idx="37">
                  <c:v>880</c:v>
                </c:pt>
                <c:pt idx="38">
                  <c:v>799</c:v>
                </c:pt>
                <c:pt idx="39">
                  <c:v>552</c:v>
                </c:pt>
                <c:pt idx="40">
                  <c:v>527</c:v>
                </c:pt>
                <c:pt idx="41">
                  <c:v>509</c:v>
                </c:pt>
                <c:pt idx="42">
                  <c:v>501</c:v>
                </c:pt>
                <c:pt idx="43">
                  <c:v>458</c:v>
                </c:pt>
                <c:pt idx="44">
                  <c:v>450</c:v>
                </c:pt>
                <c:pt idx="45">
                  <c:v>445</c:v>
                </c:pt>
                <c:pt idx="46">
                  <c:v>420</c:v>
                </c:pt>
                <c:pt idx="47">
                  <c:v>389</c:v>
                </c:pt>
                <c:pt idx="48">
                  <c:v>382</c:v>
                </c:pt>
                <c:pt idx="49">
                  <c:v>345</c:v>
                </c:pt>
                <c:pt idx="50">
                  <c:v>332</c:v>
                </c:pt>
                <c:pt idx="51">
                  <c:v>330</c:v>
                </c:pt>
                <c:pt idx="52">
                  <c:v>325</c:v>
                </c:pt>
                <c:pt idx="53">
                  <c:v>195</c:v>
                </c:pt>
                <c:pt idx="54">
                  <c:v>185</c:v>
                </c:pt>
                <c:pt idx="55">
                  <c:v>171</c:v>
                </c:pt>
                <c:pt idx="56">
                  <c:v>38</c:v>
                </c:pt>
              </c:numCache>
            </c:numRef>
          </c:xVal>
          <c:yVal>
            <c:numRef>
              <c:f>Analysis!$M$2:$M$58</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yVal>
          <c:smooth val="0"/>
          <c:extLst>
            <c:ext xmlns:c16="http://schemas.microsoft.com/office/drawing/2014/chart" uri="{C3380CC4-5D6E-409C-BE32-E72D297353CC}">
              <c16:uniqueId val="{00000001-8EEB-4A45-B4B5-127C7498F53F}"/>
            </c:ext>
          </c:extLst>
        </c:ser>
        <c:dLbls>
          <c:showLegendKey val="0"/>
          <c:showVal val="0"/>
          <c:showCatName val="0"/>
          <c:showSerName val="0"/>
          <c:showPercent val="0"/>
          <c:showBubbleSize val="0"/>
        </c:dLbls>
        <c:axId val="563908264"/>
        <c:axId val="563909672"/>
      </c:scatterChart>
      <c:valAx>
        <c:axId val="56390826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Current</a:t>
                </a:r>
                <a:r>
                  <a:rPr lang="en-GB" baseline="0"/>
                  <a:t> Price(KSh)</a:t>
                </a:r>
              </a:p>
              <a:p>
                <a:pPr>
                  <a:defRPr/>
                </a:pP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quot;K&quot;" sourceLinked="0"/>
        <c:majorTickMark val="none"/>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563909672"/>
        <c:crosses val="autoZero"/>
        <c:crossBetween val="midCat"/>
      </c:valAx>
      <c:valAx>
        <c:axId val="5639096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Rating</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3908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[Excel_Jumia_Product_Analysis_Final.xlsx]Rating mix!PivotTable1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Mix</a:t>
            </a:r>
            <a:endParaRPr lang="en-US"/>
          </a:p>
        </c:rich>
      </c:tx>
      <c:overlay val="0"/>
      <c:spPr>
        <a:noFill/>
        <a:ln>
          <a:solidFill>
            <a:schemeClr val="accent1">
              <a:alpha val="98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8000"/>
            </a:schemeClr>
          </a:solidFill>
          <a:ln w="19050">
            <a:solidFill>
              <a:schemeClr val="lt1"/>
            </a:solidFill>
          </a:ln>
          <a:effectLst/>
        </c:spPr>
      </c:pivotFmt>
      <c:pivotFmt>
        <c:idx val="3"/>
        <c:spPr>
          <a:solidFill>
            <a:schemeClr val="accent2">
              <a:shade val="86000"/>
            </a:schemeClr>
          </a:solidFill>
          <a:ln w="19050">
            <a:solidFill>
              <a:schemeClr val="lt1"/>
            </a:solidFill>
          </a:ln>
          <a:effectLst/>
        </c:spPr>
      </c:pivotFmt>
      <c:pivotFmt>
        <c:idx val="4"/>
        <c:spPr>
          <a:solidFill>
            <a:schemeClr val="accent2">
              <a:tint val="86000"/>
            </a:schemeClr>
          </a:solidFill>
          <a:ln w="19050">
            <a:solidFill>
              <a:schemeClr val="lt1"/>
            </a:solidFill>
          </a:ln>
          <a:effectLst/>
        </c:spPr>
      </c:pivotFmt>
      <c:pivotFmt>
        <c:idx val="5"/>
        <c:spPr>
          <a:solidFill>
            <a:schemeClr val="accent2">
              <a:tint val="58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pieChart>
        <c:varyColors val="1"/>
        <c:ser>
          <c:idx val="0"/>
          <c:order val="0"/>
          <c:tx>
            <c:strRef>
              <c:f>'Rating mix'!$B$3</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276D-4BE7-88F7-07CE718339A6}"/>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276D-4BE7-88F7-07CE718339A6}"/>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276D-4BE7-88F7-07CE718339A6}"/>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276D-4BE7-88F7-07CE718339A6}"/>
              </c:ext>
            </c:extLst>
          </c:dPt>
          <c:cat>
            <c:strRef>
              <c:f>'Rating mix'!$A$4:$A$8</c:f>
              <c:strCache>
                <c:ptCount val="4"/>
                <c:pt idx="0">
                  <c:v>Average</c:v>
                </c:pt>
                <c:pt idx="1">
                  <c:v>Excellent</c:v>
                </c:pt>
                <c:pt idx="2">
                  <c:v>Missing</c:v>
                </c:pt>
                <c:pt idx="3">
                  <c:v>Poor</c:v>
                </c:pt>
              </c:strCache>
            </c:strRef>
          </c:cat>
          <c:val>
            <c:numRef>
              <c:f>'Rating mix'!$B$4:$B$8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8-276D-4BE7-88F7-07CE718339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[Excel_Jumia_Product_Analysis_Final.xlsx]Discount mix!PivotTable2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Mix</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7537182852144"/>
          <c:y val="0.22666447944006998"/>
          <c:w val="0.69602537182852142"/>
          <c:h val="0.5774660979877515"/>
        </c:manualLayout>
      </c:layout>
      <c:barChart>
        <c:barDir val="col"/>
        <c:grouping val="clustered"/>
        <c:varyColors val="0"/>
        <c:ser>
          <c:idx val="0"/>
          <c:order val="0"/>
          <c:tx>
            <c:strRef>
              <c:f>'Discount mix'!$B$3</c:f>
              <c:strCache>
                <c:ptCount val="1"/>
                <c:pt idx="0">
                  <c:v>Total</c:v>
                </c:pt>
              </c:strCache>
            </c:strRef>
          </c:tx>
          <c:spPr>
            <a:solidFill>
              <a:schemeClr val="accent2"/>
            </a:solidFill>
            <a:ln>
              <a:noFill/>
            </a:ln>
            <a:effectLst/>
          </c:spPr>
          <c:invertIfNegative val="0"/>
          <c:cat>
            <c:strRef>
              <c:f>'Discount mix'!$A$4:$A$7</c:f>
              <c:strCache>
                <c:ptCount val="3"/>
                <c:pt idx="0">
                  <c:v>High Discount</c:v>
                </c:pt>
                <c:pt idx="1">
                  <c:v>Low Discount</c:v>
                </c:pt>
                <c:pt idx="2">
                  <c:v>Medium Discount</c:v>
                </c:pt>
              </c:strCache>
            </c:strRef>
          </c:cat>
          <c:val>
            <c:numRef>
              <c:f>'Discount mix'!$B$4:$B$7</c:f>
              <c:numCache>
                <c:formatCode>General</c:formatCode>
                <c:ptCount val="3"/>
                <c:pt idx="0">
                  <c:v>62</c:v>
                </c:pt>
                <c:pt idx="1">
                  <c:v>18</c:v>
                </c:pt>
                <c:pt idx="2">
                  <c:v>32</c:v>
                </c:pt>
              </c:numCache>
            </c:numRef>
          </c:val>
          <c:extLst>
            <c:ext xmlns:c16="http://schemas.microsoft.com/office/drawing/2014/chart" uri="{C3380CC4-5D6E-409C-BE32-E72D297353CC}">
              <c16:uniqueId val="{00000000-0ABA-4CDB-AF0D-485EDA300293}"/>
            </c:ext>
          </c:extLst>
        </c:ser>
        <c:dLbls>
          <c:showLegendKey val="0"/>
          <c:showVal val="0"/>
          <c:showCatName val="0"/>
          <c:showSerName val="0"/>
          <c:showPercent val="0"/>
          <c:showBubbleSize val="0"/>
        </c:dLbls>
        <c:gapWidth val="219"/>
        <c:overlap val="-27"/>
        <c:axId val="656282448"/>
        <c:axId val="656280688"/>
      </c:barChart>
      <c:catAx>
        <c:axId val="656282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r>
                  <a:rPr lang="en-GB" baseline="0"/>
                  <a:t> Category</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0688"/>
        <c:crosses val="autoZero"/>
        <c:auto val="1"/>
        <c:lblAlgn val="ctr"/>
        <c:lblOffset val="100"/>
        <c:noMultiLvlLbl val="0"/>
      </c:catAx>
      <c:valAx>
        <c:axId val="65628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Products</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1.jpe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13</xdr:col>
      <xdr:colOff>257175</xdr:colOff>
      <xdr:row>4</xdr:row>
      <xdr:rowOff>33337</xdr:rowOff>
    </xdr:from>
    <xdr:to>
      <xdr:col>20</xdr:col>
      <xdr:colOff>561975</xdr:colOff>
      <xdr:row>18</xdr:row>
      <xdr:rowOff>61912</xdr:rowOff>
    </xdr:to>
    <xdr:graphicFrame macro="">
      <xdr:nvGraphicFramePr>
        <xdr:cNvPr id="2" name="Chart 1">
          <a:extLst>
            <a:ext uri="{FF2B5EF4-FFF2-40B4-BE49-F238E27FC236}">
              <a16:creationId xmlns:a16="http://schemas.microsoft.com/office/drawing/2014/main" id="{F6EA16AE-2D45-4109-2320-2B47D14B5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47625</xdr:colOff>
      <xdr:row>4</xdr:row>
      <xdr:rowOff>52387</xdr:rowOff>
    </xdr:from>
    <xdr:to>
      <xdr:col>28</xdr:col>
      <xdr:colOff>352425</xdr:colOff>
      <xdr:row>18</xdr:row>
      <xdr:rowOff>80962</xdr:rowOff>
    </xdr:to>
    <xdr:graphicFrame macro="">
      <xdr:nvGraphicFramePr>
        <xdr:cNvPr id="3" name="Chart 2">
          <a:extLst>
            <a:ext uri="{FF2B5EF4-FFF2-40B4-BE49-F238E27FC236}">
              <a16:creationId xmlns:a16="http://schemas.microsoft.com/office/drawing/2014/main" id="{5CAD2DCD-00DC-5961-2521-67BE932D5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438150</xdr:colOff>
      <xdr:row>4</xdr:row>
      <xdr:rowOff>42862</xdr:rowOff>
    </xdr:from>
    <xdr:to>
      <xdr:col>36</xdr:col>
      <xdr:colOff>133350</xdr:colOff>
      <xdr:row>18</xdr:row>
      <xdr:rowOff>71437</xdr:rowOff>
    </xdr:to>
    <xdr:graphicFrame macro="">
      <xdr:nvGraphicFramePr>
        <xdr:cNvPr id="4" name="Chart 3">
          <a:extLst>
            <a:ext uri="{FF2B5EF4-FFF2-40B4-BE49-F238E27FC236}">
              <a16:creationId xmlns:a16="http://schemas.microsoft.com/office/drawing/2014/main" id="{5DFECBED-B9FC-8887-669E-07B84BD6E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0</xdr:row>
      <xdr:rowOff>0</xdr:rowOff>
    </xdr:from>
    <xdr:to>
      <xdr:col>9</xdr:col>
      <xdr:colOff>571500</xdr:colOff>
      <xdr:row>14</xdr:row>
      <xdr:rowOff>76200</xdr:rowOff>
    </xdr:to>
    <xdr:graphicFrame macro="">
      <xdr:nvGraphicFramePr>
        <xdr:cNvPr id="2" name="Chart 1">
          <a:extLst>
            <a:ext uri="{FF2B5EF4-FFF2-40B4-BE49-F238E27FC236}">
              <a16:creationId xmlns:a16="http://schemas.microsoft.com/office/drawing/2014/main" id="{2D32D476-C2A9-1EDC-67A6-1CAC5F7A3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123825</xdr:colOff>
      <xdr:row>3</xdr:row>
      <xdr:rowOff>128587</xdr:rowOff>
    </xdr:from>
    <xdr:to>
      <xdr:col>9</xdr:col>
      <xdr:colOff>428625</xdr:colOff>
      <xdr:row>18</xdr:row>
      <xdr:rowOff>14287</xdr:rowOff>
    </xdr:to>
    <xdr:graphicFrame macro="">
      <xdr:nvGraphicFramePr>
        <xdr:cNvPr id="2" name="Chart 1">
          <a:extLst>
            <a:ext uri="{FF2B5EF4-FFF2-40B4-BE49-F238E27FC236}">
              <a16:creationId xmlns:a16="http://schemas.microsoft.com/office/drawing/2014/main" id="{9B31BCD4-58E3-2B2F-D2A7-FEDFD4439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504825</xdr:colOff>
      <xdr:row>0</xdr:row>
      <xdr:rowOff>85725</xdr:rowOff>
    </xdr:from>
    <xdr:to>
      <xdr:col>12</xdr:col>
      <xdr:colOff>504825</xdr:colOff>
      <xdr:row>7</xdr:row>
      <xdr:rowOff>95250</xdr:rowOff>
    </xdr:to>
    <mc:AlternateContent xmlns:mc="http://schemas.openxmlformats.org/markup-compatibility/2006">
      <mc:Choice xmlns:a14="http://schemas.microsoft.com/office/drawing/2010/main" Requires="a14">
        <xdr:graphicFrame macro="">
          <xdr:nvGraphicFramePr>
            <xdr:cNvPr id="3" name="Price Category">
              <a:extLst>
                <a:ext uri="{FF2B5EF4-FFF2-40B4-BE49-F238E27FC236}">
                  <a16:creationId xmlns:a16="http://schemas.microsoft.com/office/drawing/2014/main" id="{643D7492-B1C1-4382-2181-640746DA796A}"/>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6972300" y="85725"/>
              <a:ext cx="1828800" cy="1343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561975</xdr:colOff>
      <xdr:row>0</xdr:row>
      <xdr:rowOff>57150</xdr:rowOff>
    </xdr:from>
    <xdr:to>
      <xdr:col>15</xdr:col>
      <xdr:colOff>561975</xdr:colOff>
      <xdr:row>7</xdr:row>
      <xdr:rowOff>76200</xdr:rowOff>
    </xdr:to>
    <mc:AlternateContent xmlns:mc="http://schemas.openxmlformats.org/markup-compatibility/2006">
      <mc:Choice xmlns:a14="http://schemas.microsoft.com/office/drawing/2010/main" Requires="a14">
        <xdr:graphicFrame macro="">
          <xdr:nvGraphicFramePr>
            <xdr:cNvPr id="4" name="Discount Category">
              <a:extLst>
                <a:ext uri="{FF2B5EF4-FFF2-40B4-BE49-F238E27FC236}">
                  <a16:creationId xmlns:a16="http://schemas.microsoft.com/office/drawing/2014/main" id="{3E54037C-75BC-3E3C-E2BC-0D2D235A8F7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8858250" y="57150"/>
              <a:ext cx="1828800"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600075</xdr:colOff>
      <xdr:row>0</xdr:row>
      <xdr:rowOff>85725</xdr:rowOff>
    </xdr:from>
    <xdr:to>
      <xdr:col>18</xdr:col>
      <xdr:colOff>600075</xdr:colOff>
      <xdr:row>8</xdr:row>
      <xdr:rowOff>180975</xdr:rowOff>
    </xdr:to>
    <mc:AlternateContent xmlns:mc="http://schemas.openxmlformats.org/markup-compatibility/2006">
      <mc:Choice xmlns:a14="http://schemas.microsoft.com/office/drawing/2010/main" Requires="a14">
        <xdr:graphicFrame macro="">
          <xdr:nvGraphicFramePr>
            <xdr:cNvPr id="5" name="Rating Category">
              <a:extLst>
                <a:ext uri="{FF2B5EF4-FFF2-40B4-BE49-F238E27FC236}">
                  <a16:creationId xmlns:a16="http://schemas.microsoft.com/office/drawing/2014/main" id="{CBE8FAAE-1BEF-7D41-F3CF-C5104698BFF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0725150" y="85725"/>
              <a:ext cx="1828800" cy="1619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123825</xdr:colOff>
      <xdr:row>3</xdr:row>
      <xdr:rowOff>128587</xdr:rowOff>
    </xdr:from>
    <xdr:to>
      <xdr:col>9</xdr:col>
      <xdr:colOff>428625</xdr:colOff>
      <xdr:row>18</xdr:row>
      <xdr:rowOff>14287</xdr:rowOff>
    </xdr:to>
    <xdr:graphicFrame macro="">
      <xdr:nvGraphicFramePr>
        <xdr:cNvPr id="2" name="Chart 1">
          <a:extLst>
            <a:ext uri="{FF2B5EF4-FFF2-40B4-BE49-F238E27FC236}">
              <a16:creationId xmlns:a16="http://schemas.microsoft.com/office/drawing/2014/main" id="{FF760AC0-5F3D-9DD1-C507-F03EC065B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3</xdr:row>
      <xdr:rowOff>128587</xdr:rowOff>
    </xdr:from>
    <xdr:to>
      <xdr:col>9</xdr:col>
      <xdr:colOff>561975</xdr:colOff>
      <xdr:row>18</xdr:row>
      <xdr:rowOff>14287</xdr:rowOff>
    </xdr:to>
    <xdr:graphicFrame macro="">
      <xdr:nvGraphicFramePr>
        <xdr:cNvPr id="2" name="Chart 1">
          <a:extLst>
            <a:ext uri="{FF2B5EF4-FFF2-40B4-BE49-F238E27FC236}">
              <a16:creationId xmlns:a16="http://schemas.microsoft.com/office/drawing/2014/main" id="{5DDE06AE-7624-1DAC-F151-318ED999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66675</xdr:colOff>
      <xdr:row>0</xdr:row>
      <xdr:rowOff>119062</xdr:rowOff>
    </xdr:from>
    <xdr:to>
      <xdr:col>22</xdr:col>
      <xdr:colOff>95250</xdr:colOff>
      <xdr:row>15</xdr:row>
      <xdr:rowOff>4762</xdr:rowOff>
    </xdr:to>
    <xdr:graphicFrame macro="">
      <xdr:nvGraphicFramePr>
        <xdr:cNvPr id="2" name="Chart 1">
          <a:extLst>
            <a:ext uri="{FF2B5EF4-FFF2-40B4-BE49-F238E27FC236}">
              <a16:creationId xmlns:a16="http://schemas.microsoft.com/office/drawing/2014/main" id="{3A14473D-93E3-8AB8-70D0-703DEC27B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66675</xdr:colOff>
      <xdr:row>0</xdr:row>
      <xdr:rowOff>166687</xdr:rowOff>
    </xdr:from>
    <xdr:to>
      <xdr:col>10</xdr:col>
      <xdr:colOff>371475</xdr:colOff>
      <xdr:row>15</xdr:row>
      <xdr:rowOff>52387</xdr:rowOff>
    </xdr:to>
    <xdr:graphicFrame macro="">
      <xdr:nvGraphicFramePr>
        <xdr:cNvPr id="2" name="Chart 1">
          <a:extLst>
            <a:ext uri="{FF2B5EF4-FFF2-40B4-BE49-F238E27FC236}">
              <a16:creationId xmlns:a16="http://schemas.microsoft.com/office/drawing/2014/main" id="{4C7E5982-B37F-04D1-D169-E725B964F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76200</xdr:colOff>
      <xdr:row>1</xdr:row>
      <xdr:rowOff>42862</xdr:rowOff>
    </xdr:from>
    <xdr:to>
      <xdr:col>9</xdr:col>
      <xdr:colOff>381000</xdr:colOff>
      <xdr:row>15</xdr:row>
      <xdr:rowOff>119062</xdr:rowOff>
    </xdr:to>
    <xdr:graphicFrame macro="">
      <xdr:nvGraphicFramePr>
        <xdr:cNvPr id="2" name="Chart 1">
          <a:extLst>
            <a:ext uri="{FF2B5EF4-FFF2-40B4-BE49-F238E27FC236}">
              <a16:creationId xmlns:a16="http://schemas.microsoft.com/office/drawing/2014/main" id="{E14F409D-1CC7-498A-3BD8-92EE16F61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224873</xdr:colOff>
      <xdr:row>0</xdr:row>
      <xdr:rowOff>0</xdr:rowOff>
    </xdr:from>
    <xdr:to>
      <xdr:col>8</xdr:col>
      <xdr:colOff>15324</xdr:colOff>
      <xdr:row>3</xdr:row>
      <xdr:rowOff>0</xdr:rowOff>
    </xdr:to>
    <xdr:pic>
      <xdr:nvPicPr>
        <xdr:cNvPr id="3" name="Picture 2">
          <a:extLst>
            <a:ext uri="{FF2B5EF4-FFF2-40B4-BE49-F238E27FC236}">
              <a16:creationId xmlns:a16="http://schemas.microsoft.com/office/drawing/2014/main" id="{8B8C607D-B6D5-A8C5-1F5A-722C2E3CD9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69221" y="0"/>
          <a:ext cx="1005233" cy="579783"/>
        </a:xfrm>
        <a:prstGeom prst="rect">
          <a:avLst/>
        </a:prstGeom>
      </xdr:spPr>
    </xdr:pic>
    <xdr:clientData/>
  </xdr:twoCellAnchor>
  <xdr:twoCellAnchor editAs="oneCell">
    <xdr:from>
      <xdr:col>0</xdr:col>
      <xdr:colOff>9525</xdr:colOff>
      <xdr:row>0</xdr:row>
      <xdr:rowOff>19050</xdr:rowOff>
    </xdr:from>
    <xdr:to>
      <xdr:col>3</xdr:col>
      <xdr:colOff>9525</xdr:colOff>
      <xdr:row>7</xdr:row>
      <xdr:rowOff>28575</xdr:rowOff>
    </xdr:to>
    <mc:AlternateContent xmlns:mc="http://schemas.openxmlformats.org/markup-compatibility/2006">
      <mc:Choice xmlns:a14="http://schemas.microsoft.com/office/drawing/2010/main" Requires="a14">
        <xdr:graphicFrame macro="">
          <xdr:nvGraphicFramePr>
            <xdr:cNvPr id="7" name="Price Category 1">
              <a:extLst>
                <a:ext uri="{FF2B5EF4-FFF2-40B4-BE49-F238E27FC236}">
                  <a16:creationId xmlns:a16="http://schemas.microsoft.com/office/drawing/2014/main" id="{93154A43-BEB2-4425-AD14-BD31EE30F82E}"/>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9525" y="19050"/>
              <a:ext cx="1822174" cy="13623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28575</xdr:rowOff>
    </xdr:from>
    <xdr:to>
      <xdr:col>3</xdr:col>
      <xdr:colOff>19050</xdr:colOff>
      <xdr:row>14</xdr:row>
      <xdr:rowOff>47625</xdr:rowOff>
    </xdr:to>
    <mc:AlternateContent xmlns:mc="http://schemas.openxmlformats.org/markup-compatibility/2006">
      <mc:Choice xmlns:a14="http://schemas.microsoft.com/office/drawing/2010/main" Requires="a14">
        <xdr:graphicFrame macro="">
          <xdr:nvGraphicFramePr>
            <xdr:cNvPr id="9" name="Discount Category 1">
              <a:extLst>
                <a:ext uri="{FF2B5EF4-FFF2-40B4-BE49-F238E27FC236}">
                  <a16:creationId xmlns:a16="http://schemas.microsoft.com/office/drawing/2014/main" id="{78CA6CAA-6788-431E-BA58-1E7CF6CAB04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9050" y="1381401"/>
              <a:ext cx="1822174" cy="13718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14</xdr:row>
      <xdr:rowOff>47625</xdr:rowOff>
    </xdr:from>
    <xdr:to>
      <xdr:col>3</xdr:col>
      <xdr:colOff>28575</xdr:colOff>
      <xdr:row>22</xdr:row>
      <xdr:rowOff>142875</xdr:rowOff>
    </xdr:to>
    <mc:AlternateContent xmlns:mc="http://schemas.openxmlformats.org/markup-compatibility/2006">
      <mc:Choice xmlns:a14="http://schemas.microsoft.com/office/drawing/2010/main" Requires="a14">
        <xdr:graphicFrame macro="">
          <xdr:nvGraphicFramePr>
            <xdr:cNvPr id="11" name="Rating Category 1">
              <a:extLst>
                <a:ext uri="{FF2B5EF4-FFF2-40B4-BE49-F238E27FC236}">
                  <a16:creationId xmlns:a16="http://schemas.microsoft.com/office/drawing/2014/main" id="{4702ABA9-04F8-46BF-A84E-703C0AF9F12F}"/>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28575" y="2753277"/>
              <a:ext cx="1822174" cy="16413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398534</xdr:colOff>
      <xdr:row>0</xdr:row>
      <xdr:rowOff>55218</xdr:rowOff>
    </xdr:from>
    <xdr:to>
      <xdr:col>17</xdr:col>
      <xdr:colOff>208033</xdr:colOff>
      <xdr:row>3</xdr:row>
      <xdr:rowOff>4832</xdr:rowOff>
    </xdr:to>
    <xdr:sp macro="" textlink="">
      <xdr:nvSpPr>
        <xdr:cNvPr id="12" name="Rectangle: Rounded Corners 11">
          <a:extLst>
            <a:ext uri="{FF2B5EF4-FFF2-40B4-BE49-F238E27FC236}">
              <a16:creationId xmlns:a16="http://schemas.microsoft.com/office/drawing/2014/main" id="{324E3443-3ED9-5CA5-5E90-C57F408D4A63}"/>
            </a:ext>
          </a:extLst>
        </xdr:cNvPr>
        <xdr:cNvSpPr/>
      </xdr:nvSpPr>
      <xdr:spPr>
        <a:xfrm>
          <a:off x="5257664" y="55218"/>
          <a:ext cx="5276021" cy="52939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tx1"/>
              </a:solidFill>
            </a:rPr>
            <a:t>Jumia</a:t>
          </a:r>
          <a:r>
            <a:rPr lang="en-GB" sz="2000" b="1" baseline="0">
              <a:solidFill>
                <a:schemeClr val="tx1"/>
              </a:solidFill>
            </a:rPr>
            <a:t>    Product     Performance   Dashboard</a:t>
          </a:r>
          <a:endParaRPr lang="en-GB" sz="2000" b="1">
            <a:solidFill>
              <a:schemeClr val="tx1"/>
            </a:solidFill>
          </a:endParaRPr>
        </a:p>
      </xdr:txBody>
    </xdr:sp>
    <xdr:clientData/>
  </xdr:twoCellAnchor>
  <xdr:twoCellAnchor>
    <xdr:from>
      <xdr:col>17</xdr:col>
      <xdr:colOff>566530</xdr:colOff>
      <xdr:row>0</xdr:row>
      <xdr:rowOff>90971</xdr:rowOff>
    </xdr:from>
    <xdr:to>
      <xdr:col>21</xdr:col>
      <xdr:colOff>197264</xdr:colOff>
      <xdr:row>2</xdr:row>
      <xdr:rowOff>81446</xdr:rowOff>
    </xdr:to>
    <xdr:sp macro="" textlink="">
      <xdr:nvSpPr>
        <xdr:cNvPr id="13" name="Flowchart: Punched Tape 12">
          <a:extLst>
            <a:ext uri="{FF2B5EF4-FFF2-40B4-BE49-F238E27FC236}">
              <a16:creationId xmlns:a16="http://schemas.microsoft.com/office/drawing/2014/main" id="{1605C228-EC8E-4563-C784-3A25E1AD377E}"/>
            </a:ext>
          </a:extLst>
        </xdr:cNvPr>
        <xdr:cNvSpPr/>
      </xdr:nvSpPr>
      <xdr:spPr>
        <a:xfrm>
          <a:off x="10892182" y="90971"/>
          <a:ext cx="2060299" cy="376997"/>
        </a:xfrm>
        <a:prstGeom prst="flowChartPunchedTape">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Data last refreshed: 04/09/2026</a:t>
          </a:r>
        </a:p>
      </xdr:txBody>
    </xdr:sp>
    <xdr:clientData/>
  </xdr:twoCellAnchor>
  <xdr:twoCellAnchor>
    <xdr:from>
      <xdr:col>4</xdr:col>
      <xdr:colOff>368577</xdr:colOff>
      <xdr:row>3</xdr:row>
      <xdr:rowOff>64329</xdr:rowOff>
    </xdr:from>
    <xdr:to>
      <xdr:col>6</xdr:col>
      <xdr:colOff>387627</xdr:colOff>
      <xdr:row>6</xdr:row>
      <xdr:rowOff>45279</xdr:rowOff>
    </xdr:to>
    <xdr:sp macro="" textlink="">
      <xdr:nvSpPr>
        <xdr:cNvPr id="14" name="Rectangle: Rounded Corners 13">
          <a:extLst>
            <a:ext uri="{FF2B5EF4-FFF2-40B4-BE49-F238E27FC236}">
              <a16:creationId xmlns:a16="http://schemas.microsoft.com/office/drawing/2014/main" id="{C265B42E-9DFD-4CBA-DB21-256B61F78451}"/>
            </a:ext>
          </a:extLst>
        </xdr:cNvPr>
        <xdr:cNvSpPr/>
      </xdr:nvSpPr>
      <xdr:spPr>
        <a:xfrm>
          <a:off x="2798142" y="644112"/>
          <a:ext cx="1233833" cy="56073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Total</a:t>
          </a:r>
          <a:r>
            <a:rPr lang="en-GB" sz="1100" b="1" baseline="0">
              <a:solidFill>
                <a:schemeClr val="tx1"/>
              </a:solidFill>
            </a:rPr>
            <a:t> Products</a:t>
          </a:r>
        </a:p>
        <a:p>
          <a:pPr algn="l"/>
          <a:r>
            <a:rPr lang="en-GB" sz="1100" b="1" baseline="0">
              <a:solidFill>
                <a:schemeClr val="tx1"/>
              </a:solidFill>
            </a:rPr>
            <a:t>112</a:t>
          </a:r>
          <a:endParaRPr lang="en-GB" sz="1100" b="1">
            <a:solidFill>
              <a:schemeClr val="tx1"/>
            </a:solidFill>
          </a:endParaRPr>
        </a:p>
      </xdr:txBody>
    </xdr:sp>
    <xdr:clientData/>
  </xdr:twoCellAnchor>
  <xdr:twoCellAnchor>
    <xdr:from>
      <xdr:col>7</xdr:col>
      <xdr:colOff>337517</xdr:colOff>
      <xdr:row>3</xdr:row>
      <xdr:rowOff>91937</xdr:rowOff>
    </xdr:from>
    <xdr:to>
      <xdr:col>10</xdr:col>
      <xdr:colOff>25400</xdr:colOff>
      <xdr:row>6</xdr:row>
      <xdr:rowOff>44312</xdr:rowOff>
    </xdr:to>
    <xdr:sp macro="" textlink="">
      <xdr:nvSpPr>
        <xdr:cNvPr id="15" name="Rectangle: Rounded Corners 14">
          <a:extLst>
            <a:ext uri="{FF2B5EF4-FFF2-40B4-BE49-F238E27FC236}">
              <a16:creationId xmlns:a16="http://schemas.microsoft.com/office/drawing/2014/main" id="{F2F89D32-5D3B-EF01-12D4-3E9BA9967898}"/>
            </a:ext>
          </a:extLst>
        </xdr:cNvPr>
        <xdr:cNvSpPr/>
      </xdr:nvSpPr>
      <xdr:spPr>
        <a:xfrm>
          <a:off x="4589256" y="671720"/>
          <a:ext cx="1510057" cy="53215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Average Current Price</a:t>
          </a:r>
        </a:p>
        <a:p>
          <a:pPr algn="l"/>
          <a:r>
            <a:rPr lang="en-GB" sz="1100" b="1">
              <a:solidFill>
                <a:schemeClr val="tx1"/>
              </a:solidFill>
            </a:rPr>
            <a:t>KSh   1,186.89</a:t>
          </a:r>
        </a:p>
      </xdr:txBody>
    </xdr:sp>
    <xdr:clientData/>
  </xdr:twoCellAnchor>
  <xdr:twoCellAnchor>
    <xdr:from>
      <xdr:col>11</xdr:col>
      <xdr:colOff>75233</xdr:colOff>
      <xdr:row>3</xdr:row>
      <xdr:rowOff>50525</xdr:rowOff>
    </xdr:from>
    <xdr:to>
      <xdr:col>13</xdr:col>
      <xdr:colOff>237157</xdr:colOff>
      <xdr:row>5</xdr:row>
      <xdr:rowOff>167586</xdr:rowOff>
    </xdr:to>
    <xdr:sp macro="" textlink="">
      <xdr:nvSpPr>
        <xdr:cNvPr id="16" name="Rectangle: Rounded Corners 15">
          <a:extLst>
            <a:ext uri="{FF2B5EF4-FFF2-40B4-BE49-F238E27FC236}">
              <a16:creationId xmlns:a16="http://schemas.microsoft.com/office/drawing/2014/main" id="{07384D7C-7F6E-B0D7-760B-223578278343}"/>
            </a:ext>
          </a:extLst>
        </xdr:cNvPr>
        <xdr:cNvSpPr/>
      </xdr:nvSpPr>
      <xdr:spPr>
        <a:xfrm>
          <a:off x="6756537" y="630308"/>
          <a:ext cx="1376707" cy="50358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Average</a:t>
          </a:r>
          <a:r>
            <a:rPr lang="en-GB" sz="1100" b="1" baseline="0">
              <a:solidFill>
                <a:schemeClr val="tx1"/>
              </a:solidFill>
            </a:rPr>
            <a:t>  Discount</a:t>
          </a:r>
        </a:p>
        <a:p>
          <a:pPr algn="l"/>
          <a:r>
            <a:rPr lang="en-GB" sz="1100" b="1" baseline="0">
              <a:solidFill>
                <a:schemeClr val="tx1"/>
              </a:solidFill>
            </a:rPr>
            <a:t>37%</a:t>
          </a:r>
          <a:endParaRPr lang="en-GB" sz="1100" b="1">
            <a:solidFill>
              <a:schemeClr val="tx1"/>
            </a:solidFill>
          </a:endParaRPr>
        </a:p>
      </xdr:txBody>
    </xdr:sp>
    <xdr:clientData/>
  </xdr:twoCellAnchor>
  <xdr:twoCellAnchor>
    <xdr:from>
      <xdr:col>14</xdr:col>
      <xdr:colOff>308251</xdr:colOff>
      <xdr:row>3</xdr:row>
      <xdr:rowOff>54803</xdr:rowOff>
    </xdr:from>
    <xdr:to>
      <xdr:col>16</xdr:col>
      <xdr:colOff>553692</xdr:colOff>
      <xdr:row>5</xdr:row>
      <xdr:rowOff>171864</xdr:rowOff>
    </xdr:to>
    <xdr:sp macro="" textlink="">
      <xdr:nvSpPr>
        <xdr:cNvPr id="17" name="Rectangle: Rounded Corners 16">
          <a:extLst>
            <a:ext uri="{FF2B5EF4-FFF2-40B4-BE49-F238E27FC236}">
              <a16:creationId xmlns:a16="http://schemas.microsoft.com/office/drawing/2014/main" id="{238F2E2D-E53D-5FA3-6F24-39D32E959F87}"/>
            </a:ext>
          </a:extLst>
        </xdr:cNvPr>
        <xdr:cNvSpPr/>
      </xdr:nvSpPr>
      <xdr:spPr>
        <a:xfrm>
          <a:off x="8811729" y="634586"/>
          <a:ext cx="1460224" cy="50358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Average Rating</a:t>
          </a:r>
        </a:p>
        <a:p>
          <a:pPr algn="l"/>
          <a:r>
            <a:rPr lang="en-GB" sz="1100" b="1">
              <a:solidFill>
                <a:schemeClr val="tx1"/>
              </a:solidFill>
            </a:rPr>
            <a:t>3.89</a:t>
          </a:r>
        </a:p>
      </xdr:txBody>
    </xdr:sp>
    <xdr:clientData/>
  </xdr:twoCellAnchor>
  <xdr:twoCellAnchor>
    <xdr:from>
      <xdr:col>17</xdr:col>
      <xdr:colOff>582405</xdr:colOff>
      <xdr:row>3</xdr:row>
      <xdr:rowOff>63364</xdr:rowOff>
    </xdr:from>
    <xdr:to>
      <xdr:col>20</xdr:col>
      <xdr:colOff>106155</xdr:colOff>
      <xdr:row>5</xdr:row>
      <xdr:rowOff>170899</xdr:rowOff>
    </xdr:to>
    <xdr:sp macro="" textlink="">
      <xdr:nvSpPr>
        <xdr:cNvPr id="18" name="Rectangle: Rounded Corners 17">
          <a:extLst>
            <a:ext uri="{FF2B5EF4-FFF2-40B4-BE49-F238E27FC236}">
              <a16:creationId xmlns:a16="http://schemas.microsoft.com/office/drawing/2014/main" id="{67B28D5C-77ED-D778-F718-F90295FC4BE8}"/>
            </a:ext>
          </a:extLst>
        </xdr:cNvPr>
        <xdr:cNvSpPr/>
      </xdr:nvSpPr>
      <xdr:spPr>
        <a:xfrm>
          <a:off x="10908057" y="643147"/>
          <a:ext cx="1345924" cy="49405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Total   Reviews</a:t>
          </a:r>
        </a:p>
        <a:p>
          <a:pPr algn="l"/>
          <a:r>
            <a:rPr lang="en-GB" sz="1100" b="1">
              <a:solidFill>
                <a:schemeClr val="tx1"/>
              </a:solidFill>
            </a:rPr>
            <a:t>678</a:t>
          </a:r>
        </a:p>
      </xdr:txBody>
    </xdr:sp>
    <xdr:clientData/>
  </xdr:twoCellAnchor>
  <xdr:twoCellAnchor>
    <xdr:from>
      <xdr:col>2</xdr:col>
      <xdr:colOff>607390</xdr:colOff>
      <xdr:row>7</xdr:row>
      <xdr:rowOff>0</xdr:rowOff>
    </xdr:from>
    <xdr:to>
      <xdr:col>10</xdr:col>
      <xdr:colOff>289891</xdr:colOff>
      <xdr:row>21</xdr:row>
      <xdr:rowOff>76200</xdr:rowOff>
    </xdr:to>
    <xdr:graphicFrame macro="">
      <xdr:nvGraphicFramePr>
        <xdr:cNvPr id="20" name="Chart 19">
          <a:extLst>
            <a:ext uri="{FF2B5EF4-FFF2-40B4-BE49-F238E27FC236}">
              <a16:creationId xmlns:a16="http://schemas.microsoft.com/office/drawing/2014/main" id="{EC274457-88DF-4980-8629-A7C6BE286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566117</xdr:colOff>
      <xdr:row>6</xdr:row>
      <xdr:rowOff>130036</xdr:rowOff>
    </xdr:from>
    <xdr:to>
      <xdr:col>18</xdr:col>
      <xdr:colOff>263526</xdr:colOff>
      <xdr:row>21</xdr:row>
      <xdr:rowOff>15736</xdr:rowOff>
    </xdr:to>
    <xdr:graphicFrame macro="">
      <xdr:nvGraphicFramePr>
        <xdr:cNvPr id="22" name="Chart 21">
          <a:extLst>
            <a:ext uri="{FF2B5EF4-FFF2-40B4-BE49-F238E27FC236}">
              <a16:creationId xmlns:a16="http://schemas.microsoft.com/office/drawing/2014/main" id="{41CD1F8B-C5D9-437B-8D64-66968DFE8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552175</xdr:colOff>
      <xdr:row>6</xdr:row>
      <xdr:rowOff>96630</xdr:rowOff>
    </xdr:from>
    <xdr:to>
      <xdr:col>26</xdr:col>
      <xdr:colOff>249583</xdr:colOff>
      <xdr:row>20</xdr:row>
      <xdr:rowOff>172830</xdr:rowOff>
    </xdr:to>
    <xdr:graphicFrame macro="">
      <xdr:nvGraphicFramePr>
        <xdr:cNvPr id="24" name="Chart 23">
          <a:extLst>
            <a:ext uri="{FF2B5EF4-FFF2-40B4-BE49-F238E27FC236}">
              <a16:creationId xmlns:a16="http://schemas.microsoft.com/office/drawing/2014/main" id="{8CDA86EE-64F9-4F8A-93F9-D611B5AD2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22</xdr:row>
      <xdr:rowOff>0</xdr:rowOff>
    </xdr:from>
    <xdr:to>
      <xdr:col>10</xdr:col>
      <xdr:colOff>320261</xdr:colOff>
      <xdr:row>36</xdr:row>
      <xdr:rowOff>37548</xdr:rowOff>
    </xdr:to>
    <xdr:graphicFrame macro="">
      <xdr:nvGraphicFramePr>
        <xdr:cNvPr id="26" name="Chart 25">
          <a:extLst>
            <a:ext uri="{FF2B5EF4-FFF2-40B4-BE49-F238E27FC236}">
              <a16:creationId xmlns:a16="http://schemas.microsoft.com/office/drawing/2014/main" id="{972002D4-ED00-43CB-9FF5-6C45DAB60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22</xdr:row>
      <xdr:rowOff>0</xdr:rowOff>
    </xdr:from>
    <xdr:to>
      <xdr:col>18</xdr:col>
      <xdr:colOff>320261</xdr:colOff>
      <xdr:row>36</xdr:row>
      <xdr:rowOff>37548</xdr:rowOff>
    </xdr:to>
    <xdr:graphicFrame macro="">
      <xdr:nvGraphicFramePr>
        <xdr:cNvPr id="28" name="Chart 27">
          <a:extLst>
            <a:ext uri="{FF2B5EF4-FFF2-40B4-BE49-F238E27FC236}">
              <a16:creationId xmlns:a16="http://schemas.microsoft.com/office/drawing/2014/main" id="{410638DE-748A-428A-8467-45CC6896C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22</xdr:row>
      <xdr:rowOff>0</xdr:rowOff>
    </xdr:from>
    <xdr:to>
      <xdr:col>26</xdr:col>
      <xdr:colOff>320261</xdr:colOff>
      <xdr:row>36</xdr:row>
      <xdr:rowOff>37548</xdr:rowOff>
    </xdr:to>
    <xdr:graphicFrame macro="">
      <xdr:nvGraphicFramePr>
        <xdr:cNvPr id="30" name="Chart 29">
          <a:extLst>
            <a:ext uri="{FF2B5EF4-FFF2-40B4-BE49-F238E27FC236}">
              <a16:creationId xmlns:a16="http://schemas.microsoft.com/office/drawing/2014/main" id="{37652C62-3ACF-4AFE-A022-15FEB6BB5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37</xdr:row>
      <xdr:rowOff>0</xdr:rowOff>
    </xdr:from>
    <xdr:to>
      <xdr:col>10</xdr:col>
      <xdr:colOff>320261</xdr:colOff>
      <xdr:row>51</xdr:row>
      <xdr:rowOff>37548</xdr:rowOff>
    </xdr:to>
    <xdr:graphicFrame macro="">
      <xdr:nvGraphicFramePr>
        <xdr:cNvPr id="32" name="Chart 31">
          <a:extLst>
            <a:ext uri="{FF2B5EF4-FFF2-40B4-BE49-F238E27FC236}">
              <a16:creationId xmlns:a16="http://schemas.microsoft.com/office/drawing/2014/main" id="{9914365F-74E9-4F8E-87E0-D5B49EC07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37</xdr:row>
      <xdr:rowOff>0</xdr:rowOff>
    </xdr:from>
    <xdr:to>
      <xdr:col>18</xdr:col>
      <xdr:colOff>320261</xdr:colOff>
      <xdr:row>51</xdr:row>
      <xdr:rowOff>37548</xdr:rowOff>
    </xdr:to>
    <xdr:graphicFrame macro="">
      <xdr:nvGraphicFramePr>
        <xdr:cNvPr id="34" name="Chart 33">
          <a:extLst>
            <a:ext uri="{FF2B5EF4-FFF2-40B4-BE49-F238E27FC236}">
              <a16:creationId xmlns:a16="http://schemas.microsoft.com/office/drawing/2014/main" id="{0124E558-DBF6-40EF-B4A1-EE759BC7B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55217</xdr:colOff>
      <xdr:row>37</xdr:row>
      <xdr:rowOff>82826</xdr:rowOff>
    </xdr:from>
    <xdr:to>
      <xdr:col>27</xdr:col>
      <xdr:colOff>82826</xdr:colOff>
      <xdr:row>55</xdr:row>
      <xdr:rowOff>179456</xdr:rowOff>
    </xdr:to>
    <xdr:sp macro="" textlink="">
      <xdr:nvSpPr>
        <xdr:cNvPr id="35" name="Rectangle 34">
          <a:extLst>
            <a:ext uri="{FF2B5EF4-FFF2-40B4-BE49-F238E27FC236}">
              <a16:creationId xmlns:a16="http://schemas.microsoft.com/office/drawing/2014/main" id="{7C88A580-CDA1-0EA1-6B50-278F8CC4C865}"/>
            </a:ext>
          </a:extLst>
        </xdr:cNvPr>
        <xdr:cNvSpPr/>
      </xdr:nvSpPr>
      <xdr:spPr>
        <a:xfrm>
          <a:off x="11595652" y="7233478"/>
          <a:ext cx="4886739" cy="3575326"/>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u="sng">
              <a:solidFill>
                <a:schemeClr val="tx1"/>
              </a:solidFill>
              <a:latin typeface="+mj-lt"/>
            </a:rPr>
            <a:t>BUSINESS   INSIGHTS</a:t>
          </a:r>
        </a:p>
        <a:p>
          <a:pPr algn="l"/>
          <a:r>
            <a:rPr lang="en-GB" sz="1200" b="1" u="none">
              <a:solidFill>
                <a:schemeClr val="tx1"/>
              </a:solidFill>
              <a:latin typeface="+mj-lt"/>
            </a:rPr>
            <a:t>1.</a:t>
          </a:r>
          <a:r>
            <a:rPr lang="en-GB" sz="1200" b="1" u="none" baseline="0">
              <a:solidFill>
                <a:schemeClr val="tx1"/>
              </a:solidFill>
              <a:latin typeface="+mj-lt"/>
            </a:rPr>
            <a:t> Discount levels show almost no relationship with number of reviews. Higher discounts do not seem to increase customer engagement in this dataset.</a:t>
          </a:r>
        </a:p>
        <a:p>
          <a:pPr algn="l"/>
          <a:r>
            <a:rPr lang="en-GB" sz="1200" b="1" u="none" baseline="0">
              <a:solidFill>
                <a:schemeClr val="tx1"/>
              </a:solidFill>
              <a:latin typeface="+mj-lt"/>
            </a:rPr>
            <a:t>2.Many of the products are being discounted heavily but not attracting more sales or approvals for example  the </a:t>
          </a:r>
          <a:r>
            <a:rPr lang="en-GB" sz="1100" b="1" i="0" u="none" strike="noStrike">
              <a:solidFill>
                <a:schemeClr val="tx1"/>
              </a:solidFill>
              <a:effectLst/>
              <a:latin typeface="+mn-lt"/>
              <a:ea typeface="+mn-ea"/>
              <a:cs typeface="+mn-cs"/>
            </a:rPr>
            <a:t>120W Cordless Vacuum Cleaners Handheld Electric Vacuum Cleaner</a:t>
          </a:r>
          <a:r>
            <a:rPr lang="en-GB" sz="1200" b="1" i="0" u="none" strike="noStrike" baseline="0">
              <a:solidFill>
                <a:schemeClr val="tx1"/>
              </a:solidFill>
              <a:effectLst/>
              <a:latin typeface="+mn-lt"/>
              <a:ea typeface="+mn-ea"/>
              <a:cs typeface="+mn-cs"/>
            </a:rPr>
            <a:t>  and </a:t>
          </a:r>
          <a:r>
            <a:rPr lang="en-GB" sz="1100" b="1" i="0" u="none" strike="noStrike">
              <a:solidFill>
                <a:schemeClr val="tx1"/>
              </a:solidFill>
              <a:effectLst/>
              <a:latin typeface="+mn-lt"/>
              <a:ea typeface="+mn-ea"/>
              <a:cs typeface="+mn-cs"/>
            </a:rPr>
            <a:t>13 In 1 Home Repair Tools Box Kit Set</a:t>
          </a:r>
          <a:r>
            <a:rPr lang="en-GB" sz="1200" b="1">
              <a:solidFill>
                <a:schemeClr val="tx1"/>
              </a:solidFill>
              <a:effectLst/>
            </a:rPr>
            <a:t> </a:t>
          </a:r>
          <a:r>
            <a:rPr lang="en-GB" sz="1200" b="1" baseline="0">
              <a:solidFill>
                <a:schemeClr val="tx1"/>
              </a:solidFill>
              <a:effectLst/>
            </a:rPr>
            <a:t>.</a:t>
          </a:r>
        </a:p>
        <a:p>
          <a:pPr algn="l"/>
          <a:r>
            <a:rPr lang="en-GB" sz="1200" b="1" u="none" baseline="0">
              <a:solidFill>
                <a:schemeClr val="tx1"/>
              </a:solidFill>
              <a:effectLst/>
              <a:latin typeface="+mn-lt"/>
            </a:rPr>
            <a:t>3.There is no clear relationship between price and rating hence highly rated products are not consistently priced higher or lower than poorly rated ones.</a:t>
          </a:r>
        </a:p>
        <a:p>
          <a:pPr algn="l"/>
          <a:r>
            <a:rPr lang="en-GB" sz="1200" b="1" u="none" baseline="0">
              <a:solidFill>
                <a:schemeClr val="tx1"/>
              </a:solidFill>
              <a:effectLst/>
              <a:latin typeface="+mn-lt"/>
            </a:rPr>
            <a:t>4. There are only 4 products which are well performing best on ratings and reviews as they have strong engagement + excellent rating.</a:t>
          </a:r>
        </a:p>
        <a:p>
          <a:pPr algn="l"/>
          <a:r>
            <a:rPr lang="en-GB" sz="1200" b="1" u="sng">
              <a:solidFill>
                <a:schemeClr val="tx1"/>
              </a:solidFill>
              <a:latin typeface="+mn-lt"/>
            </a:rPr>
            <a:t>RECOMMENDATIONS</a:t>
          </a:r>
        </a:p>
        <a:p>
          <a:pPr algn="l"/>
          <a:r>
            <a:rPr lang="en-GB" sz="1200" b="1" u="none">
              <a:solidFill>
                <a:schemeClr val="tx1"/>
              </a:solidFill>
              <a:latin typeface="+mn-lt"/>
            </a:rPr>
            <a:t>1.Sellers</a:t>
          </a:r>
          <a:r>
            <a:rPr lang="en-GB" sz="1200" b="1" u="none" baseline="0">
              <a:solidFill>
                <a:schemeClr val="tx1"/>
              </a:solidFill>
              <a:latin typeface="+mn-lt"/>
            </a:rPr>
            <a:t> should not assume bigger discounts=more reviews and look into other factors such as listing quality, advertising images and description.</a:t>
          </a:r>
        </a:p>
        <a:p>
          <a:pPr algn="l"/>
          <a:r>
            <a:rPr lang="en-GB" sz="1200" b="1" u="none" baseline="0">
              <a:solidFill>
                <a:schemeClr val="tx1"/>
              </a:solidFill>
              <a:latin typeface="+mn-lt"/>
            </a:rPr>
            <a:t>2.Sellers should l</a:t>
          </a:r>
        </a:p>
        <a:p>
          <a:pPr algn="l"/>
          <a:r>
            <a:rPr lang="en-GB" sz="1200" b="1" u="none" baseline="0">
              <a:solidFill>
                <a:schemeClr val="tx1"/>
              </a:solidFill>
              <a:latin typeface="+mn-lt"/>
            </a:rPr>
            <a:t>ook into the 4 best performing products based on reviews and ratings to understand what they are doing differently and whether they can replicate the same.</a:t>
          </a:r>
          <a:endParaRPr lang="en-GB" sz="1200" b="1" u="none">
            <a:solidFill>
              <a:schemeClr val="tx1"/>
            </a:solidFill>
            <a:latin typeface="+mn-l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ison" refreshedDate="46269.433995254629" createdVersion="8" refreshedVersion="8" minRefreshableVersion="3" recordCount="112" xr:uid="{AF929B95-2C3F-4EA4-AD3D-61370227BAF4}">
  <cacheSource type="worksheet">
    <worksheetSource name="tblProducts"/>
  </cacheSource>
  <cacheFields count="19">
    <cacheField name="Product" numFmtId="49">
      <sharedItems count="109">
        <s v="1/2/3 Seater Elastic Sofa Cover,Living Room/Home Decor Chair Cover-Grey"/>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Genebre 115 In 1 Screwdriver Repairing Tool Set For IPhone Cellphone Hand Tool"/>
        <s v="Cute Christmas Fence Garden Decorations For Holiday Home"/>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167">
      <sharedItems containsSemiMixedTypes="0" containsString="0" containsNumber="1" containsInteger="1" minValue="38" maxValue="3750"/>
    </cacheField>
    <cacheField name="Old Price" numFmtId="167">
      <sharedItems containsSemiMixedTypes="0" containsString="0" containsNumber="1" containsInteger="1" minValue="80" maxValue="6143"/>
    </cacheField>
    <cacheField name="Price Category" numFmtId="167">
      <sharedItems count="3">
        <s v="High Price"/>
        <s v="Medium Price"/>
        <s v="Low Price"/>
      </sharedItems>
    </cacheField>
    <cacheField name="Discount Amount" numFmtId="166">
      <sharedItems containsSemiMixedTypes="0" containsString="0" containsNumber="1" containsInteger="1" minValue="24" maxValue="2585"/>
    </cacheField>
    <cacheField name="Calculated Discount" numFmtId="9">
      <sharedItems containsSemiMixedTypes="0" containsString="0" containsNumber="1" minValue="1.2638230647709321E-2" maxValue="0.64014466546112114"/>
    </cacheField>
    <cacheField name="Advertised Discount" numFmtId="9">
      <sharedItems containsSemiMixedTypes="0" containsString="0" containsNumber="1" minValue="0.01" maxValue="0.64"/>
    </cacheField>
    <cacheField name="Discount Category" numFmtId="9">
      <sharedItems count="3">
        <s v="Medium Discount"/>
        <s v="Low Discount"/>
        <s v="High Discount"/>
      </sharedItems>
    </cacheField>
    <cacheField name="Check Discount" numFmtId="9">
      <sharedItems/>
    </cacheField>
    <cacheField name="Review" numFmtId="0">
      <sharedItems containsString="0" containsBlank="1" containsNumber="1" containsInteger="1" minValue="1" maxValue="69" count="22">
        <n v="2"/>
        <n v="5"/>
        <n v="1"/>
        <m/>
        <n v="15"/>
        <n v="12"/>
        <n v="55"/>
        <n v="24"/>
        <n v="6"/>
        <n v="13"/>
        <n v="7"/>
        <n v="3"/>
        <n v="32"/>
        <n v="9"/>
        <n v="14"/>
        <n v="16"/>
        <n v="44"/>
        <n v="39"/>
        <n v="69"/>
        <n v="49"/>
        <n v="36"/>
        <n v="17"/>
      </sharedItems>
    </cacheField>
    <cacheField name="Rating" numFmtId="165">
      <sharedItems containsMixedTypes="1" containsNumber="1" minValue="2" maxValue="5" count="23">
        <n v="4.5"/>
        <n v="3"/>
        <n v="5"/>
        <s v=""/>
        <n v="4"/>
        <n v="4.5999999999999996"/>
        <n v="3.8"/>
        <n v="2.5"/>
        <n v="2.1"/>
        <n v="4.3"/>
        <n v="4.7"/>
        <n v="4.0999999999999996"/>
        <n v="4.8"/>
        <n v="4.2"/>
        <n v="4.4000000000000004"/>
        <n v="2.9"/>
        <n v="2.2999999999999998"/>
        <n v="2.2000000000000002"/>
        <n v="2"/>
        <n v="2.8"/>
        <n v="2.6"/>
        <n v="2.7"/>
        <n v="3.3"/>
      </sharedItems>
    </cacheField>
    <cacheField name="Rating Category" numFmtId="165">
      <sharedItems count="4">
        <s v="Average"/>
        <s v="Excellent"/>
        <s v="Missing"/>
        <s v="Poor"/>
      </sharedItems>
    </cacheField>
    <cacheField name="Checking Rating" numFmtId="165">
      <sharedItems/>
    </cacheField>
    <cacheField name="Data Status" numFmtId="165">
      <sharedItems/>
    </cacheField>
    <cacheField name="Engagement Strength" numFmtId="165">
      <sharedItems/>
    </cacheField>
    <cacheField name="High Discount + Low Rating" numFmtId="165">
      <sharedItems count="3">
        <s v="No"/>
        <s v="Missing"/>
        <s v="Yes"/>
      </sharedItems>
    </cacheField>
    <cacheField name="High Discount + Low Engagement" numFmtId="165">
      <sharedItems count="3">
        <s v="No"/>
        <s v="Missing"/>
        <s v="Yes"/>
      </sharedItems>
    </cacheField>
    <cacheField name="Many Reviews + average rating" numFmtId="165">
      <sharedItems count="3">
        <s v="No"/>
        <s v="Missing"/>
        <s v="Yes"/>
      </sharedItems>
    </cacheField>
    <cacheField name="Strong Engagement + excellent rating" numFmtId="165">
      <sharedItems count="3">
        <s v="No"/>
        <s v="Missing"/>
        <s v="Yes"/>
      </sharedItems>
    </cacheField>
  </cacheFields>
  <extLst>
    <ext xmlns:x14="http://schemas.microsoft.com/office/spreadsheetml/2009/9/main" uri="{725AE2AE-9491-48be-B2B4-4EB974FC3084}">
      <x14:pivotCacheDefinition pivotCacheId="2096166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1800"/>
    <n v="2700"/>
    <x v="0"/>
    <n v="900"/>
    <n v="0.33333333333333331"/>
    <n v="0.38"/>
    <x v="0"/>
    <s v="OK"/>
    <x v="0"/>
    <x v="0"/>
    <x v="0"/>
    <s v="OK"/>
    <s v="Complete"/>
    <s v="Weak Engagement"/>
    <x v="0"/>
    <x v="0"/>
    <x v="0"/>
    <x v="0"/>
  </r>
  <r>
    <x v="1"/>
    <n v="3750"/>
    <n v="6143"/>
    <x v="0"/>
    <n v="2393"/>
    <n v="0.38954908025394758"/>
    <n v="0.39"/>
    <x v="0"/>
    <s v="OK"/>
    <x v="1"/>
    <x v="1"/>
    <x v="0"/>
    <s v="OK"/>
    <s v="Complete"/>
    <s v="Weak Engagement"/>
    <x v="0"/>
    <x v="0"/>
    <x v="0"/>
    <x v="0"/>
  </r>
  <r>
    <x v="2"/>
    <n v="3640"/>
    <n v="4588"/>
    <x v="0"/>
    <n v="948"/>
    <n v="0.20662598081952921"/>
    <n v="0.21"/>
    <x v="0"/>
    <s v="OK"/>
    <x v="2"/>
    <x v="2"/>
    <x v="1"/>
    <s v="OK"/>
    <s v="Complete"/>
    <s v="Weak Engagement"/>
    <x v="0"/>
    <x v="0"/>
    <x v="0"/>
    <x v="0"/>
  </r>
  <r>
    <x v="3"/>
    <n v="3546"/>
    <n v="3699"/>
    <x v="0"/>
    <n v="153"/>
    <n v="4.1362530413625302E-2"/>
    <n v="0.04"/>
    <x v="1"/>
    <s v="OK"/>
    <x v="3"/>
    <x v="3"/>
    <x v="2"/>
    <s v="Check rating"/>
    <s v="Missing rating and review"/>
    <s v="Weak Engagement"/>
    <x v="1"/>
    <x v="1"/>
    <x v="1"/>
    <x v="1"/>
  </r>
  <r>
    <x v="4"/>
    <n v="2999"/>
    <n v="3290"/>
    <x v="0"/>
    <n v="291"/>
    <n v="8.8449848024316116E-2"/>
    <n v="0.09"/>
    <x v="1"/>
    <s v="OK"/>
    <x v="4"/>
    <x v="4"/>
    <x v="0"/>
    <s v="OK"/>
    <s v="Complete"/>
    <s v="Strong Engagement"/>
    <x v="0"/>
    <x v="0"/>
    <x v="2"/>
    <x v="0"/>
  </r>
  <r>
    <x v="5"/>
    <n v="2999"/>
    <n v="3699"/>
    <x v="0"/>
    <n v="700"/>
    <n v="0.18924033522573669"/>
    <n v="0.19"/>
    <x v="1"/>
    <s v="OK"/>
    <x v="1"/>
    <x v="5"/>
    <x v="1"/>
    <s v="OK"/>
    <s v="Complete"/>
    <s v="Weak Engagement"/>
    <x v="0"/>
    <x v="0"/>
    <x v="0"/>
    <x v="0"/>
  </r>
  <r>
    <x v="6"/>
    <n v="2880"/>
    <n v="3520"/>
    <x v="0"/>
    <n v="640"/>
    <n v="0.18181818181818182"/>
    <n v="0.18"/>
    <x v="1"/>
    <s v="OK"/>
    <x v="5"/>
    <x v="6"/>
    <x v="0"/>
    <s v="OK"/>
    <s v="Complete"/>
    <s v="Weak Engagement"/>
    <x v="0"/>
    <x v="0"/>
    <x v="0"/>
    <x v="0"/>
  </r>
  <r>
    <x v="7"/>
    <n v="2799"/>
    <n v="3810"/>
    <x v="0"/>
    <n v="1011"/>
    <n v="0.26535433070866143"/>
    <n v="0.27"/>
    <x v="0"/>
    <s v="OK"/>
    <x v="3"/>
    <x v="3"/>
    <x v="2"/>
    <s v="Check rating"/>
    <s v="Missing rating and review"/>
    <s v="Weak Engagement"/>
    <x v="1"/>
    <x v="1"/>
    <x v="1"/>
    <x v="1"/>
  </r>
  <r>
    <x v="8"/>
    <n v="2750"/>
    <n v="4471"/>
    <x v="0"/>
    <n v="1721"/>
    <n v="0.38492507269067322"/>
    <n v="0.38"/>
    <x v="0"/>
    <s v="OK"/>
    <x v="3"/>
    <x v="3"/>
    <x v="2"/>
    <s v="Check rating"/>
    <s v="Missing rating and review"/>
    <s v="Weak Engagement"/>
    <x v="1"/>
    <x v="1"/>
    <x v="1"/>
    <x v="1"/>
  </r>
  <r>
    <x v="9"/>
    <n v="2319"/>
    <n v="3032"/>
    <x v="0"/>
    <n v="713"/>
    <n v="0.23515831134564644"/>
    <n v="0.24"/>
    <x v="0"/>
    <s v="OK"/>
    <x v="6"/>
    <x v="5"/>
    <x v="1"/>
    <s v="OK"/>
    <s v="Complete"/>
    <s v="Strong Engagement"/>
    <x v="0"/>
    <x v="0"/>
    <x v="0"/>
    <x v="2"/>
  </r>
  <r>
    <x v="10"/>
    <n v="2300"/>
    <n v="3240"/>
    <x v="0"/>
    <n v="940"/>
    <n v="0.29012345679012347"/>
    <n v="0.28999999999999998"/>
    <x v="0"/>
    <s v="OK"/>
    <x v="1"/>
    <x v="1"/>
    <x v="0"/>
    <s v="OK"/>
    <s v="Complete"/>
    <s v="Weak Engagement"/>
    <x v="0"/>
    <x v="0"/>
    <x v="0"/>
    <x v="0"/>
  </r>
  <r>
    <x v="11"/>
    <n v="2200"/>
    <n v="4080"/>
    <x v="0"/>
    <n v="1880"/>
    <n v="0.46078431372549017"/>
    <n v="0.46"/>
    <x v="2"/>
    <s v="OK"/>
    <x v="3"/>
    <x v="3"/>
    <x v="2"/>
    <s v="Check rating"/>
    <s v="Missing rating and review"/>
    <s v="Weak Engagement"/>
    <x v="1"/>
    <x v="1"/>
    <x v="1"/>
    <x v="1"/>
  </r>
  <r>
    <x v="12"/>
    <n v="2199"/>
    <n v="2923"/>
    <x v="0"/>
    <n v="724"/>
    <n v="0.24769072870338693"/>
    <n v="0.25"/>
    <x v="0"/>
    <s v="OK"/>
    <x v="7"/>
    <x v="5"/>
    <x v="1"/>
    <s v="OK"/>
    <s v="Complete"/>
    <s v="Strong Engagement"/>
    <x v="0"/>
    <x v="0"/>
    <x v="0"/>
    <x v="2"/>
  </r>
  <r>
    <x v="13"/>
    <n v="2170"/>
    <n v="2500"/>
    <x v="0"/>
    <n v="330"/>
    <n v="0.13200000000000001"/>
    <n v="0.13"/>
    <x v="1"/>
    <s v="OK"/>
    <x v="8"/>
    <x v="7"/>
    <x v="3"/>
    <s v="OK"/>
    <s v="Complete"/>
    <s v="Weak Engagement"/>
    <x v="0"/>
    <x v="0"/>
    <x v="0"/>
    <x v="0"/>
  </r>
  <r>
    <x v="14"/>
    <n v="2132"/>
    <n v="2169"/>
    <x v="0"/>
    <n v="37"/>
    <n v="1.705855232826187E-2"/>
    <n v="0.02"/>
    <x v="1"/>
    <s v="OK"/>
    <x v="3"/>
    <x v="3"/>
    <x v="2"/>
    <s v="Check rating"/>
    <s v="Missing rating and review"/>
    <s v="Weak Engagement"/>
    <x v="1"/>
    <x v="1"/>
    <x v="1"/>
    <x v="1"/>
  </r>
  <r>
    <x v="15"/>
    <n v="2115"/>
    <n v="4700"/>
    <x v="0"/>
    <n v="2585"/>
    <n v="0.55000000000000004"/>
    <n v="0.55000000000000004"/>
    <x v="2"/>
    <s v="OK"/>
    <x v="9"/>
    <x v="8"/>
    <x v="3"/>
    <s v="OK"/>
    <s v="Complete"/>
    <s v="Strong Engagement"/>
    <x v="2"/>
    <x v="0"/>
    <x v="0"/>
    <x v="0"/>
  </r>
  <r>
    <x v="16"/>
    <n v="2048"/>
    <n v="4500"/>
    <x v="0"/>
    <n v="2452"/>
    <n v="0.54488888888888887"/>
    <n v="0.54"/>
    <x v="2"/>
    <s v="OK"/>
    <x v="10"/>
    <x v="9"/>
    <x v="0"/>
    <s v="OK"/>
    <s v="Complete"/>
    <s v="Weak Engagement"/>
    <x v="0"/>
    <x v="2"/>
    <x v="0"/>
    <x v="0"/>
  </r>
  <r>
    <x v="17"/>
    <n v="2025"/>
    <n v="3971"/>
    <x v="0"/>
    <n v="1946"/>
    <n v="0.49005288340468395"/>
    <n v="0.49"/>
    <x v="2"/>
    <s v="OK"/>
    <x v="11"/>
    <x v="2"/>
    <x v="1"/>
    <s v="OK"/>
    <s v="Complete"/>
    <s v="Weak Engagement"/>
    <x v="0"/>
    <x v="2"/>
    <x v="0"/>
    <x v="0"/>
  </r>
  <r>
    <x v="18"/>
    <n v="1980"/>
    <n v="2699"/>
    <x v="0"/>
    <n v="719"/>
    <n v="0.26639496109670247"/>
    <n v="0.27"/>
    <x v="0"/>
    <s v="OK"/>
    <x v="12"/>
    <x v="0"/>
    <x v="0"/>
    <s v="OK"/>
    <s v="Complete"/>
    <s v="Strong Engagement"/>
    <x v="0"/>
    <x v="0"/>
    <x v="2"/>
    <x v="0"/>
  </r>
  <r>
    <x v="19"/>
    <n v="1940"/>
    <n v="2650"/>
    <x v="0"/>
    <n v="710"/>
    <n v="0.26792452830188679"/>
    <n v="0.27"/>
    <x v="0"/>
    <s v="OK"/>
    <x v="0"/>
    <x v="10"/>
    <x v="1"/>
    <s v="OK"/>
    <s v="Complete"/>
    <s v="Weak Engagement"/>
    <x v="0"/>
    <x v="0"/>
    <x v="0"/>
    <x v="0"/>
  </r>
  <r>
    <x v="20"/>
    <n v="1875"/>
    <n v="1899"/>
    <x v="0"/>
    <n v="24"/>
    <n v="1.2638230647709321E-2"/>
    <n v="0.01"/>
    <x v="1"/>
    <s v="OK"/>
    <x v="3"/>
    <x v="3"/>
    <x v="2"/>
    <s v="Check rating"/>
    <s v="Missing rating and review"/>
    <s v="Weak Engagement"/>
    <x v="1"/>
    <x v="1"/>
    <x v="1"/>
    <x v="1"/>
  </r>
  <r>
    <x v="21"/>
    <n v="1860"/>
    <n v="3220"/>
    <x v="0"/>
    <n v="1360"/>
    <n v="0.42236024844720499"/>
    <n v="0.42"/>
    <x v="2"/>
    <s v="OK"/>
    <x v="3"/>
    <x v="3"/>
    <x v="2"/>
    <s v="Check rating"/>
    <s v="Missing rating and review"/>
    <s v="Weak Engagement"/>
    <x v="1"/>
    <x v="1"/>
    <x v="1"/>
    <x v="1"/>
  </r>
  <r>
    <x v="22"/>
    <n v="1820"/>
    <n v="3490"/>
    <x v="0"/>
    <n v="1670"/>
    <n v="0.47851002865329512"/>
    <n v="0.48"/>
    <x v="2"/>
    <s v="OK"/>
    <x v="13"/>
    <x v="9"/>
    <x v="0"/>
    <s v="OK"/>
    <s v="Complete"/>
    <s v="Weak Engagement"/>
    <x v="0"/>
    <x v="2"/>
    <x v="0"/>
    <x v="0"/>
  </r>
  <r>
    <x v="23"/>
    <n v="1768"/>
    <n v="1799"/>
    <x v="0"/>
    <n v="31"/>
    <n v="1.7231795441912175E-2"/>
    <n v="0.02"/>
    <x v="1"/>
    <s v="OK"/>
    <x v="3"/>
    <x v="3"/>
    <x v="2"/>
    <s v="Check rating"/>
    <s v="Missing rating and review"/>
    <s v="Weak Engagement"/>
    <x v="1"/>
    <x v="1"/>
    <x v="1"/>
    <x v="1"/>
  </r>
  <r>
    <x v="24"/>
    <n v="1758"/>
    <n v="2499"/>
    <x v="0"/>
    <n v="741"/>
    <n v="0.2965186074429772"/>
    <n v="0.3"/>
    <x v="0"/>
    <s v="OK"/>
    <x v="0"/>
    <x v="11"/>
    <x v="0"/>
    <s v="OK"/>
    <s v="Complete"/>
    <s v="Weak Engagement"/>
    <x v="0"/>
    <x v="0"/>
    <x v="0"/>
    <x v="0"/>
  </r>
  <r>
    <x v="25"/>
    <n v="1740"/>
    <n v="2356"/>
    <x v="0"/>
    <n v="616"/>
    <n v="0.26146010186757218"/>
    <n v="0.26"/>
    <x v="0"/>
    <s v="OK"/>
    <x v="1"/>
    <x v="12"/>
    <x v="1"/>
    <s v="OK"/>
    <s v="Complete"/>
    <s v="Weak Engagement"/>
    <x v="0"/>
    <x v="0"/>
    <x v="0"/>
    <x v="0"/>
  </r>
  <r>
    <x v="26"/>
    <n v="1732"/>
    <n v="1799"/>
    <x v="0"/>
    <n v="67"/>
    <n v="3.7242912729294052E-2"/>
    <n v="0.04"/>
    <x v="1"/>
    <s v="OK"/>
    <x v="3"/>
    <x v="3"/>
    <x v="2"/>
    <s v="Check rating"/>
    <s v="Missing rating and review"/>
    <s v="Weak Engagement"/>
    <x v="1"/>
    <x v="1"/>
    <x v="1"/>
    <x v="1"/>
  </r>
  <r>
    <x v="27"/>
    <n v="1680"/>
    <n v="2499"/>
    <x v="0"/>
    <n v="819"/>
    <n v="0.32773109243697479"/>
    <n v="0.33"/>
    <x v="0"/>
    <s v="OK"/>
    <x v="13"/>
    <x v="13"/>
    <x v="0"/>
    <s v="OK"/>
    <s v="Complete"/>
    <s v="Weak Engagement"/>
    <x v="0"/>
    <x v="0"/>
    <x v="0"/>
    <x v="0"/>
  </r>
  <r>
    <x v="28"/>
    <n v="1666"/>
    <n v="1699"/>
    <x v="1"/>
    <n v="33"/>
    <n v="1.9423190111830489E-2"/>
    <n v="0.02"/>
    <x v="1"/>
    <s v="OK"/>
    <x v="3"/>
    <x v="3"/>
    <x v="2"/>
    <s v="Check rating"/>
    <s v="Missing rating and review"/>
    <s v="Weak Engagement"/>
    <x v="1"/>
    <x v="1"/>
    <x v="1"/>
    <x v="1"/>
  </r>
  <r>
    <x v="29"/>
    <n v="1660"/>
    <n v="1699"/>
    <x v="1"/>
    <n v="39"/>
    <n v="2.2954679223072396E-2"/>
    <n v="0.02"/>
    <x v="1"/>
    <s v="OK"/>
    <x v="3"/>
    <x v="3"/>
    <x v="2"/>
    <s v="Check rating"/>
    <s v="Missing rating and review"/>
    <s v="Weak Engagement"/>
    <x v="1"/>
    <x v="1"/>
    <x v="1"/>
    <x v="1"/>
  </r>
  <r>
    <x v="30"/>
    <n v="1658"/>
    <n v="1699"/>
    <x v="1"/>
    <n v="41"/>
    <n v="2.4131842260153032E-2"/>
    <n v="0.02"/>
    <x v="1"/>
    <s v="OK"/>
    <x v="3"/>
    <x v="3"/>
    <x v="2"/>
    <s v="Check rating"/>
    <s v="Missing rating and review"/>
    <s v="Weak Engagement"/>
    <x v="1"/>
    <x v="1"/>
    <x v="1"/>
    <x v="1"/>
  </r>
  <r>
    <x v="31"/>
    <n v="1650"/>
    <n v="2150"/>
    <x v="1"/>
    <n v="500"/>
    <n v="0.23255813953488372"/>
    <n v="0.23"/>
    <x v="0"/>
    <s v="OK"/>
    <x v="14"/>
    <x v="14"/>
    <x v="0"/>
    <s v="OK"/>
    <s v="Complete"/>
    <s v="Strong Engagement"/>
    <x v="0"/>
    <x v="0"/>
    <x v="2"/>
    <x v="0"/>
  </r>
  <r>
    <x v="32"/>
    <n v="1620"/>
    <n v="2690"/>
    <x v="1"/>
    <n v="1070"/>
    <n v="0.39776951672862454"/>
    <n v="0.4"/>
    <x v="0"/>
    <s v="OK"/>
    <x v="2"/>
    <x v="2"/>
    <x v="1"/>
    <s v="OK"/>
    <s v="Complete"/>
    <s v="Weak Engagement"/>
    <x v="0"/>
    <x v="0"/>
    <x v="0"/>
    <x v="0"/>
  </r>
  <r>
    <x v="33"/>
    <n v="1600"/>
    <n v="2929"/>
    <x v="1"/>
    <n v="1329"/>
    <n v="0.45373847729600547"/>
    <n v="0.45"/>
    <x v="2"/>
    <s v="OK"/>
    <x v="1"/>
    <x v="6"/>
    <x v="0"/>
    <s v="OK"/>
    <s v="Complete"/>
    <s v="Weak Engagement"/>
    <x v="0"/>
    <x v="2"/>
    <x v="0"/>
    <x v="0"/>
  </r>
  <r>
    <x v="34"/>
    <n v="1580"/>
    <n v="2499"/>
    <x v="1"/>
    <n v="919"/>
    <n v="0.36774709883953582"/>
    <n v="0.37"/>
    <x v="0"/>
    <s v="OK"/>
    <x v="10"/>
    <x v="10"/>
    <x v="1"/>
    <s v="OK"/>
    <s v="Complete"/>
    <s v="Weak Engagement"/>
    <x v="0"/>
    <x v="0"/>
    <x v="0"/>
    <x v="0"/>
  </r>
  <r>
    <x v="35"/>
    <n v="1570"/>
    <n v="2988"/>
    <x v="1"/>
    <n v="1418"/>
    <n v="0.4745649263721553"/>
    <n v="0.47"/>
    <x v="2"/>
    <s v="OK"/>
    <x v="10"/>
    <x v="8"/>
    <x v="3"/>
    <s v="OK"/>
    <s v="Complete"/>
    <s v="Weak Engagement"/>
    <x v="2"/>
    <x v="2"/>
    <x v="0"/>
    <x v="0"/>
  </r>
  <r>
    <x v="36"/>
    <n v="1526"/>
    <n v="1660"/>
    <x v="1"/>
    <n v="134"/>
    <n v="8.0722891566265054E-2"/>
    <n v="0.08"/>
    <x v="1"/>
    <s v="OK"/>
    <x v="3"/>
    <x v="3"/>
    <x v="2"/>
    <s v="Check rating"/>
    <s v="Missing rating and review"/>
    <s v="Weak Engagement"/>
    <x v="1"/>
    <x v="1"/>
    <x v="1"/>
    <x v="1"/>
  </r>
  <r>
    <x v="37"/>
    <n v="1468"/>
    <n v="1699"/>
    <x v="1"/>
    <n v="231"/>
    <n v="0.13596233078281342"/>
    <n v="0.14000000000000001"/>
    <x v="1"/>
    <s v="OK"/>
    <x v="3"/>
    <x v="3"/>
    <x v="2"/>
    <s v="Check rating"/>
    <s v="Missing rating and review"/>
    <s v="Weak Engagement"/>
    <x v="1"/>
    <x v="1"/>
    <x v="1"/>
    <x v="1"/>
  </r>
  <r>
    <x v="38"/>
    <n v="1466"/>
    <n v="1699"/>
    <x v="1"/>
    <n v="233"/>
    <n v="0.13713949381989404"/>
    <n v="0.14000000000000001"/>
    <x v="1"/>
    <s v="OK"/>
    <x v="3"/>
    <x v="3"/>
    <x v="2"/>
    <s v="Check rating"/>
    <s v="Missing rating and review"/>
    <s v="Weak Engagement"/>
    <x v="1"/>
    <x v="1"/>
    <x v="1"/>
    <x v="1"/>
  </r>
  <r>
    <x v="39"/>
    <n v="1462"/>
    <n v="1499"/>
    <x v="1"/>
    <n v="37"/>
    <n v="2.4683122081387593E-2"/>
    <n v="0.02"/>
    <x v="1"/>
    <s v="OK"/>
    <x v="3"/>
    <x v="3"/>
    <x v="2"/>
    <s v="Check rating"/>
    <s v="Missing rating and review"/>
    <s v="Weak Engagement"/>
    <x v="1"/>
    <x v="1"/>
    <x v="1"/>
    <x v="1"/>
  </r>
  <r>
    <x v="40"/>
    <n v="1460"/>
    <n v="2290"/>
    <x v="1"/>
    <n v="830"/>
    <n v="0.36244541484716158"/>
    <n v="0.36"/>
    <x v="0"/>
    <s v="OK"/>
    <x v="3"/>
    <x v="3"/>
    <x v="2"/>
    <s v="Check rating"/>
    <s v="Missing rating and review"/>
    <s v="Weak Engagement"/>
    <x v="1"/>
    <x v="1"/>
    <x v="1"/>
    <x v="1"/>
  </r>
  <r>
    <x v="41"/>
    <n v="1459"/>
    <n v="1499"/>
    <x v="1"/>
    <n v="40"/>
    <n v="2.6684456304202801E-2"/>
    <n v="0.03"/>
    <x v="1"/>
    <s v="OK"/>
    <x v="3"/>
    <x v="3"/>
    <x v="2"/>
    <s v="Check rating"/>
    <s v="Missing rating and review"/>
    <s v="Weak Engagement"/>
    <x v="1"/>
    <x v="1"/>
    <x v="1"/>
    <x v="1"/>
  </r>
  <r>
    <x v="42"/>
    <n v="1420"/>
    <n v="2420"/>
    <x v="1"/>
    <n v="1000"/>
    <n v="0.41322314049586778"/>
    <n v="0.41"/>
    <x v="2"/>
    <s v="OK"/>
    <x v="3"/>
    <x v="3"/>
    <x v="2"/>
    <s v="Check rating"/>
    <s v="Missing rating and review"/>
    <s v="Weak Engagement"/>
    <x v="1"/>
    <x v="1"/>
    <x v="1"/>
    <x v="1"/>
  </r>
  <r>
    <x v="43"/>
    <n v="1350"/>
    <n v="1990"/>
    <x v="1"/>
    <n v="640"/>
    <n v="0.32160804020100503"/>
    <n v="0.32"/>
    <x v="0"/>
    <s v="OK"/>
    <x v="9"/>
    <x v="6"/>
    <x v="0"/>
    <s v="OK"/>
    <s v="Complete"/>
    <s v="Strong Engagement"/>
    <x v="0"/>
    <x v="0"/>
    <x v="2"/>
    <x v="0"/>
  </r>
  <r>
    <x v="44"/>
    <n v="1300"/>
    <n v="2500"/>
    <x v="1"/>
    <n v="1200"/>
    <n v="0.48"/>
    <n v="0.48"/>
    <x v="2"/>
    <s v="OK"/>
    <x v="3"/>
    <x v="3"/>
    <x v="2"/>
    <s v="Check rating"/>
    <s v="Missing rating and review"/>
    <s v="Weak Engagement"/>
    <x v="1"/>
    <x v="1"/>
    <x v="1"/>
    <x v="1"/>
  </r>
  <r>
    <x v="45"/>
    <n v="1274"/>
    <n v="2800"/>
    <x v="1"/>
    <n v="1526"/>
    <n v="0.54500000000000004"/>
    <n v="0.55000000000000004"/>
    <x v="2"/>
    <s v="OK"/>
    <x v="1"/>
    <x v="12"/>
    <x v="1"/>
    <s v="OK"/>
    <s v="Complete"/>
    <s v="Weak Engagement"/>
    <x v="0"/>
    <x v="2"/>
    <x v="0"/>
    <x v="0"/>
  </r>
  <r>
    <x v="46"/>
    <n v="1220"/>
    <n v="1555"/>
    <x v="1"/>
    <n v="335"/>
    <n v="0.21543408360128619"/>
    <n v="0.22"/>
    <x v="0"/>
    <s v="OK"/>
    <x v="15"/>
    <x v="15"/>
    <x v="3"/>
    <s v="OK"/>
    <s v="Complete"/>
    <s v="Strong Engagement"/>
    <x v="0"/>
    <x v="0"/>
    <x v="0"/>
    <x v="0"/>
  </r>
  <r>
    <x v="47"/>
    <n v="1200"/>
    <n v="1950"/>
    <x v="1"/>
    <n v="750"/>
    <n v="0.38461538461538464"/>
    <n v="0.38"/>
    <x v="0"/>
    <s v="OK"/>
    <x v="3"/>
    <x v="3"/>
    <x v="2"/>
    <s v="Check rating"/>
    <s v="Missing rating and review"/>
    <s v="Weak Engagement"/>
    <x v="1"/>
    <x v="1"/>
    <x v="1"/>
    <x v="1"/>
  </r>
  <r>
    <x v="48"/>
    <n v="1200"/>
    <n v="2400"/>
    <x v="1"/>
    <n v="1200"/>
    <n v="0.5"/>
    <n v="0.5"/>
    <x v="2"/>
    <s v="OK"/>
    <x v="3"/>
    <x v="3"/>
    <x v="2"/>
    <s v="Check rating"/>
    <s v="Missing rating and review"/>
    <s v="Weak Engagement"/>
    <x v="1"/>
    <x v="1"/>
    <x v="1"/>
    <x v="1"/>
  </r>
  <r>
    <x v="49"/>
    <n v="1190"/>
    <n v="1785"/>
    <x v="1"/>
    <n v="595"/>
    <n v="0.33333333333333331"/>
    <n v="0.33"/>
    <x v="0"/>
    <s v="OK"/>
    <x v="3"/>
    <x v="3"/>
    <x v="2"/>
    <s v="Check rating"/>
    <s v="Missing rating and review"/>
    <s v="Weak Engagement"/>
    <x v="1"/>
    <x v="1"/>
    <x v="1"/>
    <x v="1"/>
  </r>
  <r>
    <x v="50"/>
    <n v="1190"/>
    <n v="1810"/>
    <x v="1"/>
    <n v="620"/>
    <n v="0.34254143646408841"/>
    <n v="0.34"/>
    <x v="0"/>
    <s v="OK"/>
    <x v="3"/>
    <x v="3"/>
    <x v="2"/>
    <s v="Check rating"/>
    <s v="Missing rating and review"/>
    <s v="Weak Engagement"/>
    <x v="1"/>
    <x v="1"/>
    <x v="1"/>
    <x v="1"/>
  </r>
  <r>
    <x v="51"/>
    <n v="1189"/>
    <n v="2199"/>
    <x v="1"/>
    <n v="1010"/>
    <n v="0.45929968167348795"/>
    <n v="0.46"/>
    <x v="2"/>
    <s v="OK"/>
    <x v="2"/>
    <x v="1"/>
    <x v="0"/>
    <s v="OK"/>
    <s v="Complete"/>
    <s v="Weak Engagement"/>
    <x v="0"/>
    <x v="2"/>
    <x v="0"/>
    <x v="0"/>
  </r>
  <r>
    <x v="52"/>
    <n v="1150"/>
    <n v="1737"/>
    <x v="1"/>
    <n v="587"/>
    <n v="0.3379389752446747"/>
    <n v="0.34"/>
    <x v="0"/>
    <s v="OK"/>
    <x v="3"/>
    <x v="3"/>
    <x v="2"/>
    <s v="Check rating"/>
    <s v="Missing rating and review"/>
    <s v="Weak Engagement"/>
    <x v="1"/>
    <x v="1"/>
    <x v="1"/>
    <x v="1"/>
  </r>
  <r>
    <x v="53"/>
    <n v="1080"/>
    <n v="1874"/>
    <x v="1"/>
    <n v="794"/>
    <n v="0.42369263607257202"/>
    <n v="0.42"/>
    <x v="2"/>
    <s v="OK"/>
    <x v="3"/>
    <x v="3"/>
    <x v="2"/>
    <s v="Check rating"/>
    <s v="Missing rating and review"/>
    <s v="Weak Engagement"/>
    <x v="1"/>
    <x v="1"/>
    <x v="1"/>
    <x v="1"/>
  </r>
  <r>
    <x v="54"/>
    <n v="1000"/>
    <n v="2000"/>
    <x v="1"/>
    <n v="1000"/>
    <n v="0.5"/>
    <n v="0.5"/>
    <x v="2"/>
    <s v="OK"/>
    <x v="10"/>
    <x v="16"/>
    <x v="3"/>
    <s v="OK"/>
    <s v="Complete"/>
    <s v="Weak Engagement"/>
    <x v="2"/>
    <x v="2"/>
    <x v="0"/>
    <x v="0"/>
  </r>
  <r>
    <x v="55"/>
    <n v="999"/>
    <n v="2000"/>
    <x v="1"/>
    <n v="1001"/>
    <n v="0.50049999999999994"/>
    <n v="0.5"/>
    <x v="2"/>
    <s v="OK"/>
    <x v="3"/>
    <x v="3"/>
    <x v="2"/>
    <s v="Check rating"/>
    <s v="Missing rating and review"/>
    <s v="Weak Engagement"/>
    <x v="1"/>
    <x v="1"/>
    <x v="1"/>
    <x v="1"/>
  </r>
  <r>
    <x v="56"/>
    <n v="998"/>
    <n v="1966"/>
    <x v="1"/>
    <n v="968"/>
    <n v="0.49237029501525942"/>
    <n v="0.49"/>
    <x v="2"/>
    <s v="OK"/>
    <x v="16"/>
    <x v="5"/>
    <x v="1"/>
    <s v="OK"/>
    <s v="Complete"/>
    <s v="Strong Engagement"/>
    <x v="0"/>
    <x v="0"/>
    <x v="0"/>
    <x v="2"/>
  </r>
  <r>
    <x v="57"/>
    <n v="990"/>
    <n v="1500"/>
    <x v="1"/>
    <n v="510"/>
    <n v="0.34"/>
    <n v="0.34"/>
    <x v="0"/>
    <s v="OK"/>
    <x v="17"/>
    <x v="10"/>
    <x v="1"/>
    <s v="OK"/>
    <s v="Complete"/>
    <s v="Strong Engagement"/>
    <x v="0"/>
    <x v="0"/>
    <x v="0"/>
    <x v="2"/>
  </r>
  <r>
    <x v="58"/>
    <n v="990"/>
    <n v="1814"/>
    <x v="1"/>
    <n v="824"/>
    <n v="0.45424476295479604"/>
    <n v="0.45"/>
    <x v="2"/>
    <s v="OK"/>
    <x v="8"/>
    <x v="17"/>
    <x v="3"/>
    <s v="OK"/>
    <s v="Complete"/>
    <s v="Weak Engagement"/>
    <x v="2"/>
    <x v="2"/>
    <x v="0"/>
    <x v="0"/>
  </r>
  <r>
    <x v="59"/>
    <n v="988"/>
    <n v="1580"/>
    <x v="1"/>
    <n v="592"/>
    <n v="0.37468354430379747"/>
    <n v="0.37"/>
    <x v="0"/>
    <s v="OK"/>
    <x v="0"/>
    <x v="4"/>
    <x v="0"/>
    <s v="OK"/>
    <s v="Complete"/>
    <s v="Weak Engagement"/>
    <x v="0"/>
    <x v="0"/>
    <x v="0"/>
    <x v="0"/>
  </r>
  <r>
    <x v="60"/>
    <n v="980"/>
    <n v="1490"/>
    <x v="1"/>
    <n v="510"/>
    <n v="0.34228187919463088"/>
    <n v="0.34"/>
    <x v="0"/>
    <s v="OK"/>
    <x v="5"/>
    <x v="10"/>
    <x v="1"/>
    <s v="OK"/>
    <s v="Complete"/>
    <s v="Weak Engagement"/>
    <x v="0"/>
    <x v="0"/>
    <x v="0"/>
    <x v="0"/>
  </r>
  <r>
    <x v="61"/>
    <n v="979"/>
    <n v="1920"/>
    <x v="1"/>
    <n v="941"/>
    <n v="0.49010416666666667"/>
    <n v="0.49"/>
    <x v="2"/>
    <s v="OK"/>
    <x v="2"/>
    <x v="2"/>
    <x v="1"/>
    <s v="OK"/>
    <s v="Complete"/>
    <s v="Weak Engagement"/>
    <x v="0"/>
    <x v="2"/>
    <x v="0"/>
    <x v="0"/>
  </r>
  <r>
    <x v="62"/>
    <n v="968"/>
    <n v="1814"/>
    <x v="1"/>
    <n v="846"/>
    <n v="0.46637265711135611"/>
    <n v="0.47"/>
    <x v="2"/>
    <s v="OK"/>
    <x v="8"/>
    <x v="17"/>
    <x v="3"/>
    <s v="OK"/>
    <s v="Complete"/>
    <s v="Weak Engagement"/>
    <x v="2"/>
    <x v="2"/>
    <x v="0"/>
    <x v="0"/>
  </r>
  <r>
    <x v="63"/>
    <n v="950"/>
    <n v="1525"/>
    <x v="1"/>
    <n v="575"/>
    <n v="0.37704918032786883"/>
    <n v="0.38"/>
    <x v="0"/>
    <s v="OK"/>
    <x v="0"/>
    <x v="0"/>
    <x v="0"/>
    <s v="OK"/>
    <s v="Complete"/>
    <s v="Weak Engagement"/>
    <x v="0"/>
    <x v="0"/>
    <x v="0"/>
    <x v="0"/>
  </r>
  <r>
    <x v="64"/>
    <n v="899"/>
    <n v="1699"/>
    <x v="1"/>
    <n v="800"/>
    <n v="0.47086521483225424"/>
    <n v="0.47"/>
    <x v="2"/>
    <s v="OK"/>
    <x v="3"/>
    <x v="3"/>
    <x v="2"/>
    <s v="Check rating"/>
    <s v="Missing rating and review"/>
    <s v="Weak Engagement"/>
    <x v="1"/>
    <x v="1"/>
    <x v="1"/>
    <x v="1"/>
  </r>
  <r>
    <x v="65"/>
    <n v="880"/>
    <n v="1350"/>
    <x v="1"/>
    <n v="470"/>
    <n v="0.34814814814814815"/>
    <n v="0.35"/>
    <x v="0"/>
    <s v="OK"/>
    <x v="8"/>
    <x v="4"/>
    <x v="0"/>
    <s v="OK"/>
    <s v="Complete"/>
    <s v="Weak Engagement"/>
    <x v="0"/>
    <x v="0"/>
    <x v="0"/>
    <x v="0"/>
  </r>
  <r>
    <x v="66"/>
    <n v="850"/>
    <n v="1700"/>
    <x v="1"/>
    <n v="850"/>
    <n v="0.5"/>
    <n v="0.5"/>
    <x v="2"/>
    <s v="OK"/>
    <x v="3"/>
    <x v="3"/>
    <x v="2"/>
    <s v="Check rating"/>
    <s v="Missing rating and review"/>
    <s v="Weak Engagement"/>
    <x v="1"/>
    <x v="1"/>
    <x v="1"/>
    <x v="1"/>
  </r>
  <r>
    <x v="67"/>
    <n v="799"/>
    <n v="1567"/>
    <x v="1"/>
    <n v="768"/>
    <n v="0.49010848755583919"/>
    <n v="0.49"/>
    <x v="2"/>
    <s v="OK"/>
    <x v="3"/>
    <x v="3"/>
    <x v="2"/>
    <s v="Check rating"/>
    <s v="Missing rating and review"/>
    <s v="Weak Engagement"/>
    <x v="1"/>
    <x v="1"/>
    <x v="1"/>
    <x v="1"/>
  </r>
  <r>
    <x v="68"/>
    <n v="799"/>
    <n v="999"/>
    <x v="1"/>
    <n v="200"/>
    <n v="0.20020020020020021"/>
    <n v="0.2"/>
    <x v="0"/>
    <s v="OK"/>
    <x v="5"/>
    <x v="11"/>
    <x v="0"/>
    <s v="OK"/>
    <s v="Complete"/>
    <s v="Weak Engagement"/>
    <x v="0"/>
    <x v="0"/>
    <x v="0"/>
    <x v="0"/>
  </r>
  <r>
    <x v="69"/>
    <n v="799"/>
    <n v="1343"/>
    <x v="1"/>
    <n v="544"/>
    <n v="0.4050632911392405"/>
    <n v="0.41"/>
    <x v="2"/>
    <s v="OK"/>
    <x v="3"/>
    <x v="3"/>
    <x v="2"/>
    <s v="Check rating"/>
    <s v="Missing rating and review"/>
    <s v="Weak Engagement"/>
    <x v="1"/>
    <x v="1"/>
    <x v="1"/>
    <x v="1"/>
  </r>
  <r>
    <x v="70"/>
    <n v="799"/>
    <n v="900"/>
    <x v="1"/>
    <n v="101"/>
    <n v="0.11222222222222222"/>
    <n v="0.11"/>
    <x v="1"/>
    <s v="OK"/>
    <x v="3"/>
    <x v="3"/>
    <x v="2"/>
    <s v="Check rating"/>
    <s v="Missing rating and review"/>
    <s v="Weak Engagement"/>
    <x v="1"/>
    <x v="1"/>
    <x v="1"/>
    <x v="1"/>
  </r>
  <r>
    <x v="71"/>
    <n v="790"/>
    <n v="1485"/>
    <x v="1"/>
    <n v="695"/>
    <n v="0.46801346801346799"/>
    <n v="0.47"/>
    <x v="2"/>
    <s v="OK"/>
    <x v="3"/>
    <x v="3"/>
    <x v="2"/>
    <s v="Check rating"/>
    <s v="Missing rating and review"/>
    <s v="Weak Engagement"/>
    <x v="1"/>
    <x v="1"/>
    <x v="1"/>
    <x v="1"/>
  </r>
  <r>
    <x v="72"/>
    <n v="699"/>
    <n v="1343"/>
    <x v="1"/>
    <n v="644"/>
    <n v="0.47952345495160087"/>
    <n v="0.48"/>
    <x v="2"/>
    <s v="OK"/>
    <x v="3"/>
    <x v="3"/>
    <x v="2"/>
    <s v="Check rating"/>
    <s v="Missing rating and review"/>
    <s v="Weak Engagement"/>
    <x v="1"/>
    <x v="1"/>
    <x v="1"/>
    <x v="1"/>
  </r>
  <r>
    <x v="73"/>
    <n v="690"/>
    <n v="1200"/>
    <x v="1"/>
    <n v="510"/>
    <n v="0.42499999999999999"/>
    <n v="0.43"/>
    <x v="2"/>
    <s v="OK"/>
    <x v="3"/>
    <x v="3"/>
    <x v="2"/>
    <s v="Check rating"/>
    <s v="Missing rating and review"/>
    <s v="Weak Engagement"/>
    <x v="1"/>
    <x v="1"/>
    <x v="1"/>
    <x v="1"/>
  </r>
  <r>
    <x v="74"/>
    <n v="671"/>
    <n v="1316"/>
    <x v="1"/>
    <n v="645"/>
    <n v="0.49012158054711247"/>
    <n v="0.49"/>
    <x v="2"/>
    <s v="OK"/>
    <x v="3"/>
    <x v="3"/>
    <x v="2"/>
    <s v="Check rating"/>
    <s v="Missing rating and review"/>
    <s v="Weak Engagement"/>
    <x v="1"/>
    <x v="1"/>
    <x v="1"/>
    <x v="1"/>
  </r>
  <r>
    <x v="67"/>
    <n v="657"/>
    <n v="1288"/>
    <x v="1"/>
    <n v="631"/>
    <n v="0.48990683229813664"/>
    <n v="0.49"/>
    <x v="2"/>
    <s v="OK"/>
    <x v="3"/>
    <x v="3"/>
    <x v="2"/>
    <s v="Check rating"/>
    <s v="Missing rating and review"/>
    <s v="Weak Engagement"/>
    <x v="1"/>
    <x v="1"/>
    <x v="1"/>
    <x v="1"/>
  </r>
  <r>
    <x v="75"/>
    <n v="630"/>
    <n v="1100"/>
    <x v="1"/>
    <n v="470"/>
    <n v="0.42727272727272725"/>
    <n v="0.43"/>
    <x v="2"/>
    <s v="OK"/>
    <x v="3"/>
    <x v="3"/>
    <x v="2"/>
    <s v="Check rating"/>
    <s v="Missing rating and review"/>
    <s v="Weak Engagement"/>
    <x v="1"/>
    <x v="1"/>
    <x v="1"/>
    <x v="1"/>
  </r>
  <r>
    <x v="76"/>
    <n v="610"/>
    <n v="1060"/>
    <x v="1"/>
    <n v="450"/>
    <n v="0.42452830188679247"/>
    <n v="0.42"/>
    <x v="2"/>
    <s v="OK"/>
    <x v="3"/>
    <x v="3"/>
    <x v="2"/>
    <s v="Check rating"/>
    <s v="Missing rating and review"/>
    <s v="Weak Engagement"/>
    <x v="1"/>
    <x v="1"/>
    <x v="1"/>
    <x v="1"/>
  </r>
  <r>
    <x v="77"/>
    <n v="552"/>
    <n v="1035"/>
    <x v="1"/>
    <n v="483"/>
    <n v="0.46666666666666667"/>
    <n v="0.47"/>
    <x v="2"/>
    <s v="OK"/>
    <x v="5"/>
    <x v="12"/>
    <x v="1"/>
    <s v="OK"/>
    <s v="Complete"/>
    <s v="Weak Engagement"/>
    <x v="0"/>
    <x v="2"/>
    <x v="0"/>
    <x v="0"/>
  </r>
  <r>
    <x v="78"/>
    <n v="527"/>
    <n v="999"/>
    <x v="1"/>
    <n v="472"/>
    <n v="0.47247247247247248"/>
    <n v="0.47"/>
    <x v="2"/>
    <s v="OK"/>
    <x v="14"/>
    <x v="11"/>
    <x v="0"/>
    <s v="OK"/>
    <s v="Complete"/>
    <s v="Strong Engagement"/>
    <x v="0"/>
    <x v="0"/>
    <x v="2"/>
    <x v="0"/>
  </r>
  <r>
    <x v="79"/>
    <n v="525"/>
    <n v="1029"/>
    <x v="1"/>
    <n v="504"/>
    <n v="0.48979591836734693"/>
    <n v="0.49"/>
    <x v="2"/>
    <s v="OK"/>
    <x v="3"/>
    <x v="3"/>
    <x v="2"/>
    <s v="Check rating"/>
    <s v="Missing rating and review"/>
    <s v="Weak Engagement"/>
    <x v="1"/>
    <x v="1"/>
    <x v="1"/>
    <x v="1"/>
  </r>
  <r>
    <x v="80"/>
    <n v="509"/>
    <n v="899"/>
    <x v="1"/>
    <n v="390"/>
    <n v="0.43381535038932145"/>
    <n v="0.43"/>
    <x v="2"/>
    <s v="OK"/>
    <x v="1"/>
    <x v="1"/>
    <x v="0"/>
    <s v="OK"/>
    <s v="Complete"/>
    <s v="Weak Engagement"/>
    <x v="0"/>
    <x v="2"/>
    <x v="0"/>
    <x v="0"/>
  </r>
  <r>
    <x v="81"/>
    <n v="501"/>
    <n v="860"/>
    <x v="1"/>
    <n v="359"/>
    <n v="0.41744186046511628"/>
    <n v="0.42"/>
    <x v="2"/>
    <s v="OK"/>
    <x v="8"/>
    <x v="0"/>
    <x v="0"/>
    <s v="OK"/>
    <s v="Complete"/>
    <s v="Weak Engagement"/>
    <x v="0"/>
    <x v="2"/>
    <x v="0"/>
    <x v="0"/>
  </r>
  <r>
    <x v="82"/>
    <n v="499"/>
    <n v="900"/>
    <x v="1"/>
    <n v="401"/>
    <n v="0.44555555555555554"/>
    <n v="0.45"/>
    <x v="2"/>
    <s v="OK"/>
    <x v="3"/>
    <x v="3"/>
    <x v="2"/>
    <s v="Check rating"/>
    <s v="Missing rating and review"/>
    <s v="Weak Engagement"/>
    <x v="1"/>
    <x v="1"/>
    <x v="1"/>
    <x v="1"/>
  </r>
  <r>
    <x v="83"/>
    <n v="475"/>
    <n v="931"/>
    <x v="2"/>
    <n v="456"/>
    <n v="0.48979591836734693"/>
    <n v="0.49"/>
    <x v="2"/>
    <s v="OK"/>
    <x v="3"/>
    <x v="3"/>
    <x v="2"/>
    <s v="Check rating"/>
    <s v="Missing rating and review"/>
    <s v="Weak Engagement"/>
    <x v="1"/>
    <x v="1"/>
    <x v="1"/>
    <x v="1"/>
  </r>
  <r>
    <x v="84"/>
    <n v="458"/>
    <n v="986"/>
    <x v="2"/>
    <n v="528"/>
    <n v="0.53549695740365111"/>
    <n v="0.54"/>
    <x v="2"/>
    <s v="OK"/>
    <x v="2"/>
    <x v="1"/>
    <x v="0"/>
    <s v="OK"/>
    <s v="Complete"/>
    <s v="Weak Engagement"/>
    <x v="0"/>
    <x v="2"/>
    <x v="0"/>
    <x v="0"/>
  </r>
  <r>
    <x v="85"/>
    <n v="450"/>
    <n v="900"/>
    <x v="2"/>
    <n v="450"/>
    <n v="0.5"/>
    <n v="0.5"/>
    <x v="2"/>
    <s v="OK"/>
    <x v="2"/>
    <x v="18"/>
    <x v="3"/>
    <s v="OK"/>
    <s v="Complete"/>
    <s v="Weak Engagement"/>
    <x v="2"/>
    <x v="2"/>
    <x v="0"/>
    <x v="0"/>
  </r>
  <r>
    <x v="86"/>
    <n v="445"/>
    <n v="873"/>
    <x v="2"/>
    <n v="428"/>
    <n v="0.49026345933562426"/>
    <n v="0.49"/>
    <x v="2"/>
    <s v="OK"/>
    <x v="18"/>
    <x v="19"/>
    <x v="3"/>
    <s v="OK"/>
    <s v="Complete"/>
    <s v="Strong Engagement"/>
    <x v="2"/>
    <x v="0"/>
    <x v="0"/>
    <x v="0"/>
  </r>
  <r>
    <x v="87"/>
    <n v="420"/>
    <n v="647"/>
    <x v="2"/>
    <n v="227"/>
    <n v="0.3508500772797527"/>
    <n v="0.35"/>
    <x v="0"/>
    <s v="OK"/>
    <x v="19"/>
    <x v="5"/>
    <x v="1"/>
    <s v="OK"/>
    <s v="Complete"/>
    <s v="Strong Engagement"/>
    <x v="0"/>
    <x v="0"/>
    <x v="0"/>
    <x v="2"/>
  </r>
  <r>
    <x v="82"/>
    <n v="399"/>
    <n v="896"/>
    <x v="2"/>
    <n v="497"/>
    <n v="0.5546875"/>
    <n v="0.55000000000000004"/>
    <x v="2"/>
    <s v="OK"/>
    <x v="3"/>
    <x v="3"/>
    <x v="2"/>
    <s v="Check rating"/>
    <s v="Missing rating and review"/>
    <s v="Weak Engagement"/>
    <x v="1"/>
    <x v="1"/>
    <x v="1"/>
    <x v="1"/>
  </r>
  <r>
    <x v="88"/>
    <n v="389"/>
    <n v="656"/>
    <x v="2"/>
    <n v="267"/>
    <n v="0.40701219512195119"/>
    <n v="0.41"/>
    <x v="2"/>
    <s v="OK"/>
    <x v="20"/>
    <x v="9"/>
    <x v="0"/>
    <s v="OK"/>
    <s v="Complete"/>
    <s v="Strong Engagement"/>
    <x v="0"/>
    <x v="0"/>
    <x v="2"/>
    <x v="0"/>
  </r>
  <r>
    <x v="89"/>
    <n v="382"/>
    <n v="700"/>
    <x v="2"/>
    <n v="318"/>
    <n v="0.45428571428571429"/>
    <n v="0.45"/>
    <x v="2"/>
    <s v="OK"/>
    <x v="21"/>
    <x v="20"/>
    <x v="3"/>
    <s v="OK"/>
    <s v="Complete"/>
    <s v="Strong Engagement"/>
    <x v="2"/>
    <x v="0"/>
    <x v="0"/>
    <x v="0"/>
  </r>
  <r>
    <x v="90"/>
    <n v="345"/>
    <n v="602"/>
    <x v="2"/>
    <n v="257"/>
    <n v="0.42691029900332228"/>
    <n v="0.43"/>
    <x v="2"/>
    <s v="OK"/>
    <x v="8"/>
    <x v="16"/>
    <x v="3"/>
    <s v="OK"/>
    <s v="Complete"/>
    <s v="Weak Engagement"/>
    <x v="2"/>
    <x v="2"/>
    <x v="0"/>
    <x v="0"/>
  </r>
  <r>
    <x v="91"/>
    <n v="332"/>
    <n v="684"/>
    <x v="2"/>
    <n v="352"/>
    <n v="0.51461988304093564"/>
    <n v="0.51"/>
    <x v="2"/>
    <s v="OK"/>
    <x v="0"/>
    <x v="2"/>
    <x v="1"/>
    <s v="OK"/>
    <s v="Complete"/>
    <s v="Weak Engagement"/>
    <x v="0"/>
    <x v="2"/>
    <x v="0"/>
    <x v="0"/>
  </r>
  <r>
    <x v="92"/>
    <n v="330"/>
    <n v="647"/>
    <x v="2"/>
    <n v="317"/>
    <n v="0.48995363214837712"/>
    <n v="0.49"/>
    <x v="2"/>
    <s v="OK"/>
    <x v="2"/>
    <x v="4"/>
    <x v="0"/>
    <s v="OK"/>
    <s v="Complete"/>
    <s v="Weak Engagement"/>
    <x v="0"/>
    <x v="2"/>
    <x v="0"/>
    <x v="0"/>
  </r>
  <r>
    <x v="93"/>
    <n v="325"/>
    <n v="680"/>
    <x v="2"/>
    <n v="355"/>
    <n v="0.5220588235294118"/>
    <n v="0.52"/>
    <x v="2"/>
    <s v="OK"/>
    <x v="4"/>
    <x v="21"/>
    <x v="3"/>
    <s v="OK"/>
    <s v="Complete"/>
    <s v="Strong Engagement"/>
    <x v="2"/>
    <x v="0"/>
    <x v="0"/>
    <x v="0"/>
  </r>
  <r>
    <x v="94"/>
    <n v="299"/>
    <n v="600"/>
    <x v="2"/>
    <n v="301"/>
    <n v="0.50166666666666671"/>
    <n v="0.5"/>
    <x v="2"/>
    <s v="OK"/>
    <x v="3"/>
    <x v="3"/>
    <x v="2"/>
    <s v="Check rating"/>
    <s v="Missing rating and review"/>
    <s v="Weak Engagement"/>
    <x v="1"/>
    <x v="1"/>
    <x v="1"/>
    <x v="1"/>
  </r>
  <r>
    <x v="95"/>
    <n v="299"/>
    <n v="384"/>
    <x v="2"/>
    <n v="85"/>
    <n v="0.22135416666666666"/>
    <n v="0.22"/>
    <x v="0"/>
    <s v="OK"/>
    <x v="3"/>
    <x v="3"/>
    <x v="2"/>
    <s v="Check rating"/>
    <s v="Missing rating and review"/>
    <s v="Weak Engagement"/>
    <x v="1"/>
    <x v="1"/>
    <x v="1"/>
    <x v="1"/>
  </r>
  <r>
    <x v="96"/>
    <n v="274"/>
    <n v="537"/>
    <x v="2"/>
    <n v="263"/>
    <n v="0.48975791433891991"/>
    <n v="0.49"/>
    <x v="2"/>
    <s v="OK"/>
    <x v="3"/>
    <x v="3"/>
    <x v="2"/>
    <s v="Check rating"/>
    <s v="Missing rating and review"/>
    <s v="Weak Engagement"/>
    <x v="1"/>
    <x v="1"/>
    <x v="1"/>
    <x v="1"/>
  </r>
  <r>
    <x v="97"/>
    <n v="248"/>
    <n v="486"/>
    <x v="2"/>
    <n v="238"/>
    <n v="0.48971193415637859"/>
    <n v="0.49"/>
    <x v="2"/>
    <s v="OK"/>
    <x v="3"/>
    <x v="3"/>
    <x v="2"/>
    <s v="Check rating"/>
    <s v="Missing rating and review"/>
    <s v="Weak Engagement"/>
    <x v="1"/>
    <x v="1"/>
    <x v="1"/>
    <x v="1"/>
  </r>
  <r>
    <x v="98"/>
    <n v="238"/>
    <n v="476"/>
    <x v="2"/>
    <n v="238"/>
    <n v="0.5"/>
    <n v="0.5"/>
    <x v="2"/>
    <s v="OK"/>
    <x v="3"/>
    <x v="3"/>
    <x v="2"/>
    <s v="Check rating"/>
    <s v="Missing rating and review"/>
    <s v="Weak Engagement"/>
    <x v="1"/>
    <x v="1"/>
    <x v="1"/>
    <x v="1"/>
  </r>
  <r>
    <x v="99"/>
    <n v="230"/>
    <n v="450"/>
    <x v="2"/>
    <n v="220"/>
    <n v="0.48888888888888887"/>
    <n v="0.49"/>
    <x v="2"/>
    <s v="OK"/>
    <x v="3"/>
    <x v="3"/>
    <x v="2"/>
    <s v="Check rating"/>
    <s v="Missing rating and review"/>
    <s v="Weak Engagement"/>
    <x v="1"/>
    <x v="1"/>
    <x v="1"/>
    <x v="1"/>
  </r>
  <r>
    <x v="100"/>
    <n v="199"/>
    <n v="504"/>
    <x v="2"/>
    <n v="305"/>
    <n v="0.60515873015873012"/>
    <n v="0.61"/>
    <x v="2"/>
    <s v="OK"/>
    <x v="3"/>
    <x v="3"/>
    <x v="2"/>
    <s v="Check rating"/>
    <s v="Missing rating and review"/>
    <s v="Weak Engagement"/>
    <x v="1"/>
    <x v="1"/>
    <x v="1"/>
    <x v="1"/>
  </r>
  <r>
    <x v="101"/>
    <n v="199"/>
    <n v="553"/>
    <x v="2"/>
    <n v="354"/>
    <n v="0.64014466546112114"/>
    <n v="0.64"/>
    <x v="2"/>
    <s v="OK"/>
    <x v="3"/>
    <x v="3"/>
    <x v="2"/>
    <s v="Check rating"/>
    <s v="Missing rating and review"/>
    <s v="Weak Engagement"/>
    <x v="1"/>
    <x v="1"/>
    <x v="1"/>
    <x v="1"/>
  </r>
  <r>
    <x v="102"/>
    <n v="198"/>
    <n v="260"/>
    <x v="2"/>
    <n v="62"/>
    <n v="0.23846153846153847"/>
    <n v="0.24"/>
    <x v="0"/>
    <s v="OK"/>
    <x v="3"/>
    <x v="3"/>
    <x v="2"/>
    <s v="Check rating"/>
    <s v="Missing rating and review"/>
    <s v="Weak Engagement"/>
    <x v="1"/>
    <x v="1"/>
    <x v="1"/>
    <x v="1"/>
  </r>
  <r>
    <x v="103"/>
    <n v="195"/>
    <n v="360"/>
    <x v="2"/>
    <n v="165"/>
    <n v="0.45833333333333331"/>
    <n v="0.46"/>
    <x v="2"/>
    <s v="OK"/>
    <x v="0"/>
    <x v="2"/>
    <x v="1"/>
    <s v="OK"/>
    <s v="Complete"/>
    <s v="Weak Engagement"/>
    <x v="0"/>
    <x v="2"/>
    <x v="0"/>
    <x v="0"/>
  </r>
  <r>
    <x v="104"/>
    <n v="185"/>
    <n v="382"/>
    <x v="2"/>
    <n v="197"/>
    <n v="0.51570680628272247"/>
    <n v="0.52"/>
    <x v="2"/>
    <s v="OK"/>
    <x v="13"/>
    <x v="9"/>
    <x v="0"/>
    <s v="OK"/>
    <s v="Complete"/>
    <s v="Weak Engagement"/>
    <x v="0"/>
    <x v="2"/>
    <x v="0"/>
    <x v="0"/>
  </r>
  <r>
    <x v="100"/>
    <n v="176"/>
    <n v="345"/>
    <x v="2"/>
    <n v="169"/>
    <n v="0.48985507246376814"/>
    <n v="0.49"/>
    <x v="2"/>
    <s v="OK"/>
    <x v="3"/>
    <x v="3"/>
    <x v="2"/>
    <s v="Check rating"/>
    <s v="Missing rating and review"/>
    <s v="Weak Engagement"/>
    <x v="1"/>
    <x v="1"/>
    <x v="1"/>
    <x v="1"/>
  </r>
  <r>
    <x v="105"/>
    <n v="171"/>
    <n v="360"/>
    <x v="2"/>
    <n v="189"/>
    <n v="0.52500000000000002"/>
    <n v="0.53"/>
    <x v="2"/>
    <s v="OK"/>
    <x v="0"/>
    <x v="2"/>
    <x v="1"/>
    <s v="OK"/>
    <s v="Complete"/>
    <s v="Weak Engagement"/>
    <x v="0"/>
    <x v="2"/>
    <x v="0"/>
    <x v="0"/>
  </r>
  <r>
    <x v="106"/>
    <n v="169"/>
    <n v="320"/>
    <x v="2"/>
    <n v="151"/>
    <n v="0.47187499999999999"/>
    <n v="0.47"/>
    <x v="2"/>
    <s v="OK"/>
    <x v="3"/>
    <x v="3"/>
    <x v="2"/>
    <s v="Check rating"/>
    <s v="Missing rating and review"/>
    <s v="Weak Engagement"/>
    <x v="1"/>
    <x v="1"/>
    <x v="1"/>
    <x v="1"/>
  </r>
  <r>
    <x v="107"/>
    <n v="105"/>
    <n v="200"/>
    <x v="2"/>
    <n v="95"/>
    <n v="0.47499999999999998"/>
    <n v="0.48"/>
    <x v="2"/>
    <s v="OK"/>
    <x v="3"/>
    <x v="3"/>
    <x v="2"/>
    <s v="Check rating"/>
    <s v="Missing rating and review"/>
    <s v="Weak Engagement"/>
    <x v="1"/>
    <x v="1"/>
    <x v="1"/>
    <x v="1"/>
  </r>
  <r>
    <x v="108"/>
    <n v="38"/>
    <n v="80"/>
    <x v="2"/>
    <n v="42"/>
    <n v="0.52500000000000002"/>
    <n v="0.53"/>
    <x v="2"/>
    <s v="OK"/>
    <x v="9"/>
    <x v="22"/>
    <x v="0"/>
    <s v="OK"/>
    <s v="Complete"/>
    <s v="Strong Engagement"/>
    <x v="0"/>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5F1AF-EBBA-431B-A1EA-497439309A66}"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9">
    <pivotField dataField="1"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Product" fld="0"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1" count="1" selected="0">
            <x v="0"/>
          </reference>
        </references>
      </pivotArea>
    </chartFormat>
    <chartFormat chart="10" format="8">
      <pivotArea type="data" outline="0" fieldPosition="0">
        <references count="2">
          <reference field="4294967294" count="1" selected="0">
            <x v="0"/>
          </reference>
          <reference field="11" count="1" selected="0">
            <x v="1"/>
          </reference>
        </references>
      </pivotArea>
    </chartFormat>
    <chartFormat chart="10" format="9">
      <pivotArea type="data" outline="0" fieldPosition="0">
        <references count="2">
          <reference field="4294967294" count="1" selected="0">
            <x v="0"/>
          </reference>
          <reference field="11" count="1" selected="0">
            <x v="2"/>
          </reference>
        </references>
      </pivotArea>
    </chartFormat>
    <chartFormat chart="10"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36726C-FE81-41D1-95C3-770151482361}"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9">
    <pivotField dataField="1"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axis="axisRow" showAll="0">
      <items count="4">
        <item x="2"/>
        <item x="1"/>
        <item x="0"/>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9686A-9232-4619-96DC-E63CB4B86048}"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9">
    <pivotField showAll="0"/>
    <pivotField numFmtId="167" showAll="0"/>
    <pivotField numFmtId="167" showAll="0"/>
    <pivotField axis="axisRow"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dataField="1"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Rating" fld="10" subtotal="average" baseField="3" baseItem="0" numFmtId="2"/>
  </dataFields>
  <formats count="2">
    <format dxfId="8">
      <pivotArea outline="0" collapsedLevelsAreSubtotals="1" fieldPosition="0"/>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FDF23A-18FC-4D33-B35F-AE8D43BD07BC}"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9">
    <pivotField showAll="0"/>
    <pivotField numFmtId="167" showAll="0"/>
    <pivotField numFmtId="167" showAll="0"/>
    <pivotField showAll="0">
      <items count="4">
        <item x="0"/>
        <item x="2"/>
        <item x="1"/>
        <item t="default"/>
      </items>
    </pivotField>
    <pivotField numFmtId="166" showAll="0"/>
    <pivotField numFmtId="9" showAll="0"/>
    <pivotField numFmtId="9" showAll="0"/>
    <pivotField axis="axisRow" showAll="0">
      <items count="4">
        <item x="2"/>
        <item x="1"/>
        <item x="0"/>
        <item t="default"/>
      </items>
    </pivotField>
    <pivotField showAll="0"/>
    <pivotField dataField="1" showAll="0"/>
    <pivotField showAll="0"/>
    <pivotField showAll="0">
      <items count="5">
        <item x="0"/>
        <item x="1"/>
        <item x="2"/>
        <item x="3"/>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Review" fld="9"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AD051F-7F01-482E-9A78-79447562CC57}"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rowPageCount="1" colPageCount="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items count="23">
        <item x="2"/>
        <item x="0"/>
        <item x="11"/>
        <item x="1"/>
        <item x="8"/>
        <item x="10"/>
        <item x="13"/>
        <item x="5"/>
        <item x="9"/>
        <item x="14"/>
        <item x="4"/>
        <item x="15"/>
        <item x="21"/>
        <item x="7"/>
        <item x="12"/>
        <item x="20"/>
        <item x="17"/>
        <item x="16"/>
        <item x="19"/>
        <item x="6"/>
        <item x="18"/>
        <item x="3"/>
        <item t="default"/>
      </items>
    </pivotField>
    <pivotField axis="axisPage" dataField="1" multipleItemSelectionAllowed="1" showAll="0">
      <items count="24">
        <item x="18"/>
        <item x="8"/>
        <item x="17"/>
        <item x="16"/>
        <item x="7"/>
        <item x="20"/>
        <item x="21"/>
        <item x="19"/>
        <item x="15"/>
        <item x="1"/>
        <item x="22"/>
        <item x="6"/>
        <item x="4"/>
        <item x="11"/>
        <item x="13"/>
        <item x="9"/>
        <item x="14"/>
        <item x="0"/>
        <item x="5"/>
        <item x="10"/>
        <item x="12"/>
        <item x="2"/>
        <item h="1"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pageFields count="1">
    <pageField fld="10" hier="-1"/>
  </pageFields>
  <dataFields count="1">
    <dataField name="Average of Rating" fld="10" subtotal="average" baseField="0" baseItem="0"/>
  </dataFields>
  <chartFormats count="2">
    <chartFormat chart="0" format="0" series="1">
      <pivotArea type="data" outline="0" fieldPosition="0">
        <references count="1">
          <reference field="4294967294" count="1" selected="0">
            <x v="0"/>
          </reference>
        </references>
      </pivotArea>
    </chartFormat>
    <chartFormat chart="13"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8C484-A3E0-4354-8623-FF1372698117}"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axis="axisPage" dataField="1" multipleItemSelectionAllowed="1" showAll="0">
      <items count="24">
        <item x="18"/>
        <item x="8"/>
        <item x="17"/>
        <item x="16"/>
        <item x="7"/>
        <item x="20"/>
        <item x="21"/>
        <item x="19"/>
        <item x="15"/>
        <item x="1"/>
        <item x="22"/>
        <item x="6"/>
        <item x="4"/>
        <item x="11"/>
        <item x="13"/>
        <item x="9"/>
        <item x="14"/>
        <item x="0"/>
        <item x="5"/>
        <item x="10"/>
        <item x="12"/>
        <item x="2"/>
        <item h="1"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64"/>
    </i>
    <i>
      <x v="38"/>
    </i>
    <i>
      <x v="25"/>
    </i>
    <i>
      <x v="17"/>
    </i>
    <i>
      <x v="106"/>
    </i>
    <i>
      <x v="35"/>
    </i>
    <i>
      <x v="41"/>
    </i>
    <i>
      <x v="30"/>
    </i>
    <i>
      <x v="58"/>
    </i>
    <i>
      <x v="104"/>
    </i>
    <i t="grand">
      <x/>
    </i>
  </rowItems>
  <colItems count="1">
    <i/>
  </colItems>
  <pageFields count="1">
    <pageField fld="10" hier="-1"/>
  </pageFields>
  <dataFields count="1">
    <dataField name="Average of Rating" fld="10" subtotal="average" baseField="0" baseItem="0"/>
  </dataField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75A9CD-0C6A-43BC-8816-E9E7C78E7131}"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rowPageCount="1" colPageCount="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axis="axisPage" dataField="1" multipleItemSelectionAllowed="1" showAll="0">
      <items count="23">
        <item x="2"/>
        <item x="0"/>
        <item x="11"/>
        <item x="1"/>
        <item x="8"/>
        <item x="10"/>
        <item x="13"/>
        <item x="5"/>
        <item x="9"/>
        <item x="14"/>
        <item x="4"/>
        <item x="15"/>
        <item x="21"/>
        <item x="7"/>
        <item x="12"/>
        <item x="20"/>
        <item x="17"/>
        <item x="16"/>
        <item x="19"/>
        <item x="6"/>
        <item x="18"/>
        <item h="1" x="3"/>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5"/>
    </i>
    <i>
      <x v="8"/>
    </i>
    <i>
      <x v="59"/>
    </i>
    <i>
      <x v="18"/>
    </i>
    <i>
      <x v="1"/>
    </i>
    <i>
      <x v="95"/>
    </i>
    <i>
      <x v="27"/>
    </i>
    <i>
      <x v="91"/>
    </i>
    <i>
      <x v="38"/>
    </i>
    <i>
      <x v="101"/>
    </i>
    <i t="grand">
      <x/>
    </i>
  </rowItems>
  <colItems count="1">
    <i/>
  </colItems>
  <pageFields count="1">
    <pageField fld="9" hier="-1"/>
  </pageFields>
  <dataFields count="1">
    <dataField name="Sum of Review" fld="9"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2A378B-629C-42ED-A7A7-EF7C43CE8A2B}"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pivotField numFmtId="166" showAll="0"/>
    <pivotField numFmtId="9" showAll="0"/>
    <pivotField dataField="1" numFmtId="9" showAll="0"/>
    <pivotField showAll="0">
      <items count="4">
        <item x="2"/>
        <item x="1"/>
        <item x="0"/>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31"/>
    </i>
    <i>
      <x v="70"/>
    </i>
    <i>
      <x v="30"/>
    </i>
    <i>
      <x v="53"/>
    </i>
    <i>
      <x v="67"/>
    </i>
    <i>
      <x v="84"/>
    </i>
    <i>
      <x v="52"/>
    </i>
    <i>
      <x v="20"/>
    </i>
    <i>
      <x v="60"/>
    </i>
    <i>
      <x v="64"/>
    </i>
    <i t="grand">
      <x/>
    </i>
  </rowItems>
  <colItems count="1">
    <i/>
  </colItems>
  <dataFields count="1">
    <dataField name="Average of Advertised Discount" fld="6"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E28CDE-E46D-4099-B35F-CF6825A14ED6}"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rowPageCount="1" colPageCount="1"/>
  <pivotFields count="19">
    <pivotField axis="axisRow"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showAll="0"/>
    <pivotField showAll="0">
      <items count="5">
        <item x="0"/>
        <item x="1"/>
        <item x="2"/>
        <item x="3"/>
        <item t="default"/>
      </items>
    </pivotField>
    <pivotField showAll="0"/>
    <pivotField showAll="0"/>
    <pivotField showAll="0"/>
    <pivotField axis="axisPage" multipleItemSelectionAllowed="1" showAll="0">
      <items count="4">
        <item h="1" x="1"/>
        <item h="1" x="0"/>
        <item x="2"/>
        <item t="default"/>
      </items>
    </pivotField>
    <pivotField showAll="0"/>
    <pivotField showAll="0"/>
    <pivotField showAll="0"/>
  </pivotFields>
  <rowFields count="1">
    <field x="0"/>
  </rowFields>
  <rowItems count="11">
    <i>
      <x v="5"/>
    </i>
    <i>
      <x v="17"/>
    </i>
    <i>
      <x v="30"/>
    </i>
    <i>
      <x v="35"/>
    </i>
    <i>
      <x v="38"/>
    </i>
    <i>
      <x v="41"/>
    </i>
    <i>
      <x v="58"/>
    </i>
    <i>
      <x v="64"/>
    </i>
    <i>
      <x v="104"/>
    </i>
    <i>
      <x v="106"/>
    </i>
    <i t="grand">
      <x/>
    </i>
  </rowItems>
  <colItems count="1">
    <i/>
  </colItems>
  <pageFields count="1">
    <pageField fld="1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52A852-CD5D-4BD5-87CD-18B73B373C52}"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6" firstHeaderRow="1" firstDataRow="1" firstDataCol="1" rowPageCount="1" colPageCount="1"/>
  <pivotFields count="19">
    <pivotField axis="axisRow"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showAll="0"/>
    <pivotField showAll="0">
      <items count="5">
        <item x="0"/>
        <item x="1"/>
        <item x="2"/>
        <item x="3"/>
        <item t="default"/>
      </items>
    </pivotField>
    <pivotField showAll="0"/>
    <pivotField showAll="0"/>
    <pivotField showAll="0"/>
    <pivotField showAll="0"/>
    <pivotField axis="axisPage" multipleItemSelectionAllowed="1" showAll="0">
      <items count="4">
        <item h="1" x="1"/>
        <item h="1" x="0"/>
        <item x="2"/>
        <item t="default"/>
      </items>
    </pivotField>
    <pivotField showAll="0"/>
    <pivotField showAll="0"/>
  </pivotFields>
  <rowFields count="1">
    <field x="0"/>
  </rowFields>
  <rowItems count="23">
    <i>
      <x v="7"/>
    </i>
    <i>
      <x v="17"/>
    </i>
    <i>
      <x v="22"/>
    </i>
    <i>
      <x v="35"/>
    </i>
    <i>
      <x v="40"/>
    </i>
    <i>
      <x v="41"/>
    </i>
    <i>
      <x v="44"/>
    </i>
    <i>
      <x v="52"/>
    </i>
    <i>
      <x v="58"/>
    </i>
    <i>
      <x v="60"/>
    </i>
    <i>
      <x v="63"/>
    </i>
    <i>
      <x v="67"/>
    </i>
    <i>
      <x v="68"/>
    </i>
    <i>
      <x v="69"/>
    </i>
    <i>
      <x v="70"/>
    </i>
    <i>
      <x v="72"/>
    </i>
    <i>
      <x v="76"/>
    </i>
    <i>
      <x v="84"/>
    </i>
    <i>
      <x v="87"/>
    </i>
    <i>
      <x v="104"/>
    </i>
    <i>
      <x v="106"/>
    </i>
    <i>
      <x v="108"/>
    </i>
    <i t="grand">
      <x/>
    </i>
  </rowItems>
  <colItems count="1">
    <i/>
  </colItems>
  <pageFields count="1">
    <pageField fld="1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8A54D8-B6EF-425A-B05B-59560D9C08F2}"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rowPageCount="1" colPageCount="1"/>
  <pivotFields count="19">
    <pivotField axis="axisRow"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pivotField axis="axisPage" multipleItemSelectionAllowed="1" showAll="0">
      <items count="4">
        <item h="1" x="1"/>
        <item h="1" x="0"/>
        <item x="2"/>
        <item t="default"/>
      </items>
    </pivotField>
    <pivotField showAll="0"/>
  </pivotFields>
  <rowFields count="1">
    <field x="0"/>
  </rowFields>
  <rowItems count="8">
    <i>
      <x v="3"/>
    </i>
    <i>
      <x v="11"/>
    </i>
    <i>
      <x v="20"/>
    </i>
    <i>
      <x v="27"/>
    </i>
    <i>
      <x v="61"/>
    </i>
    <i>
      <x v="77"/>
    </i>
    <i>
      <x v="95"/>
    </i>
    <i t="grand">
      <x/>
    </i>
  </rowItems>
  <colItems count="1">
    <i/>
  </colItems>
  <pageFields count="1">
    <pageField fld="1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463819-E732-46BA-859B-F0B1FCAA9DB5}"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rowPageCount="1" colPageCount="1"/>
  <pivotFields count="19">
    <pivotField axis="axisRow"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pivotField numFmtId="166"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h="1" x="0"/>
        <item x="2"/>
        <item t="default"/>
      </items>
    </pivotField>
  </pivotFields>
  <rowFields count="1">
    <field x="0"/>
  </rowFields>
  <rowItems count="6">
    <i>
      <x v="1"/>
    </i>
    <i>
      <x v="8"/>
    </i>
    <i>
      <x v="18"/>
    </i>
    <i>
      <x v="59"/>
    </i>
    <i>
      <x v="91"/>
    </i>
    <i t="grand">
      <x/>
    </i>
  </rowItems>
  <colItems count="1">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3BBC7D-25A4-4A7D-B510-16AF704749AB}"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530BF2B8-2658-4CD9-AA39-8C878F7B24F0}" sourceName="Price Category">
  <pivotTables>
    <pivotTable tabId="5" name="PivotTable2"/>
    <pivotTable tabId="9" name="PivotTable6"/>
    <pivotTable tabId="7" name="PivotTable4"/>
    <pivotTable tabId="14" name="PivotTable10"/>
    <pivotTable tabId="13" name="PivotTable9"/>
    <pivotTable tabId="15" name="PivotTable11"/>
    <pivotTable tabId="6" name="PivotTable3"/>
    <pivotTable tabId="4" name="PivotTable1"/>
    <pivotTable tabId="8" name="PivotTable5"/>
    <pivotTable tabId="11" name="PivotTable7"/>
  </pivotTables>
  <data>
    <tabular pivotCacheId="209616636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78BA4C0-B330-4815-B757-E74A796DCB63}" sourceName="Discount Category">
  <pivotTables>
    <pivotTable tabId="5" name="PivotTable2"/>
    <pivotTable tabId="9" name="PivotTable6"/>
    <pivotTable tabId="7" name="PivotTable4"/>
    <pivotTable tabId="14" name="PivotTable10"/>
    <pivotTable tabId="13" name="PivotTable9"/>
    <pivotTable tabId="15" name="PivotTable11"/>
    <pivotTable tabId="6" name="PivotTable3"/>
    <pivotTable tabId="4" name="PivotTable1"/>
    <pivotTable tabId="8" name="PivotTable5"/>
    <pivotTable tabId="11" name="PivotTable7"/>
    <pivotTable tabId="12" name="PivotTable8"/>
  </pivotTables>
  <data>
    <tabular pivotCacheId="209616636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49BE26C-8F6A-4887-9346-F55A513A50A6}" sourceName="Rating Category">
  <pivotTables>
    <pivotTable tabId="5" name="PivotTable2"/>
    <pivotTable tabId="9" name="PivotTable6"/>
    <pivotTable tabId="7" name="PivotTable4"/>
    <pivotTable tabId="14" name="PivotTable10"/>
    <pivotTable tabId="13" name="PivotTable9"/>
    <pivotTable tabId="15" name="PivotTable11"/>
    <pivotTable tabId="6" name="PivotTable3"/>
    <pivotTable tabId="4" name="PivotTable1"/>
    <pivotTable tabId="8" name="PivotTable5"/>
    <pivotTable tabId="11" name="PivotTable7"/>
    <pivotTable tabId="12" name="PivotTable8"/>
  </pivotTables>
  <data>
    <tabular pivotCacheId="209616636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B7FBC6B5-FFC3-41E5-B163-A7821690B34F}" cache="Slicer_Price_Category" caption="Price Category" style="SlicerStyleLight2" rowHeight="257175"/>
  <slicer name="Discount Category" xr10:uid="{F498EC54-59F7-45E0-8E26-AFF5AD5DFA38}" cache="Slicer_Discount_Category" caption="Discount Category" style="SlicerStyleLight2" rowHeight="257175"/>
  <slicer name="Rating Category" xr10:uid="{DD478204-0846-4DA1-850E-76280FF40C47}" cache="Slicer_Rating_Category" caption="Rating Category"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EF21388E-30FD-47A3-BAC6-D13CF8B1FE8B}" cache="Slicer_Price_Category" caption="Price Category" style="SlicerStyleLight2" rowHeight="257175"/>
  <slicer name="Discount Category 1" xr10:uid="{2733E995-F886-4A6F-B234-A1186F967880}" cache="Slicer_Discount_Category" caption="Discount Category" style="SlicerStyleLight2" rowHeight="257175"/>
  <slicer name="Rating Category 1" xr10:uid="{4972A489-7ADE-4EF4-A97C-BBB290A83B8A}" cache="Slicer_Rating_Category" caption="Rating Category"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09FAAF-A2D6-420D-AB0F-F1BE12CDC074}" name="Excel_jumia_dataset" displayName="Excel_jumia_dataset" ref="A1:F116" tableType="queryTable" totalsRowShown="0">
  <autoFilter ref="A1:F116" xr:uid="{6409FAAF-A2D6-420D-AB0F-F1BE12CDC074}"/>
  <tableColumns count="6">
    <tableColumn id="1" xr3:uid="{AA42E2A5-26A3-41AA-AAD5-FC342CA3D06E}" uniqueName="1" name="Product" queryTableFieldId="1" dataDxfId="14"/>
    <tableColumn id="2" xr3:uid="{D9EFA06D-AA17-45EF-939E-2125B27CC257}" uniqueName="2" name="Current price" queryTableFieldId="2" dataDxfId="13"/>
    <tableColumn id="3" xr3:uid="{E4F5BFA4-FAA0-4A89-A614-A5341F35CBBF}" uniqueName="3" name="old price" queryTableFieldId="3" dataDxfId="12"/>
    <tableColumn id="4" xr3:uid="{C3796182-1EB5-4446-AA46-5D9B34E61355}" uniqueName="4" name="Discount" queryTableFieldId="4"/>
    <tableColumn id="5" xr3:uid="{BB577413-F504-4F29-83A5-F9FEB645C406}" uniqueName="5" name="Review" queryTableFieldId="5"/>
    <tableColumn id="6" xr3:uid="{A89B2069-24F0-4127-97E6-88AAC2BB892B}" uniqueName="6" name="Ratingd" queryTableFieldId="6" dataDxfId="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F75159-BE69-4DE8-9D89-A938E16DBFC9}" name="tblProducts" displayName="tblProducts" ref="A1:S113" totalsRowShown="0" tableBorderDxfId="31">
  <autoFilter ref="A1:S113" xr:uid="{D081B21E-D384-46EC-B6A7-3F082E702ED5}"/>
  <tableColumns count="19">
    <tableColumn id="1" xr3:uid="{9D8159BC-0107-452A-B7DE-0616BA787AA3}" name="Product" dataDxfId="30"/>
    <tableColumn id="2" xr3:uid="{84902CB8-98A8-49A5-8EB8-CE99D67964E8}" name="Current Price" dataDxfId="29"/>
    <tableColumn id="3" xr3:uid="{E86E68A4-090A-41E3-AEE6-375B2704842A}" name="Old Price" dataDxfId="28"/>
    <tableColumn id="18" xr3:uid="{467DF5FA-318A-4DA5-AA19-C777AF237598}" name="Price Category" dataDxfId="27">
      <calculatedColumnFormula>IF(tblProducts[[#This Row],[Current Price]]="","Missing",IF(tblProducts[[#This Row],[Current Price]]&lt;=Price_Q1,"Low Price",IF(tblProducts[[#This Row],[Current Price]]&lt;=Price_Q3,"Medium Price","High Price")))</calculatedColumnFormula>
    </tableColumn>
    <tableColumn id="11" xr3:uid="{0EFFA5C1-2500-4703-B916-BB7EC3D1E2A4}" name="Discount Amount" dataDxfId="26">
      <calculatedColumnFormula>C2-B2</calculatedColumnFormula>
    </tableColumn>
    <tableColumn id="12" xr3:uid="{ABC997A8-F327-4391-9DC4-4EAFD5A4898B}" name="Calculated Discount" dataCellStyle="Percent">
      <calculatedColumnFormula>((C2-B2)/C2)</calculatedColumnFormula>
    </tableColumn>
    <tableColumn id="5" xr3:uid="{24F3A115-962F-40D4-8C02-3A3D8FF74C45}" name="Advertised Discount" dataDxfId="25" dataCellStyle="Percent"/>
    <tableColumn id="17" xr3:uid="{966515CF-2922-4055-8DC0-14BE1971FD95}" name="Discount Category" dataDxfId="24" dataCellStyle="Percent">
      <calculatedColumnFormula>IF(tblProducts[[#This Row],[Advertised Discount]]="","Missing",IF(tblProducts[[#This Row],[Advertised Discount]]&lt;20%,"Low Discount",IF(tblProducts[[#This Row],[Advertised Discount]]&lt;=40%,"Medium Discount","High Discount")))</calculatedColumnFormula>
    </tableColumn>
    <tableColumn id="10" xr3:uid="{33BCCB3C-EF44-403A-B850-9E1171738B27}" name="Check Discount" dataDxfId="23" dataCellStyle="Percent">
      <calculatedColumnFormula array="1">IF(OR(tblProducts[Advertised Discount]&lt;0%,tblProducts[Advertised Discount]&gt;100%),"Check rating","OK")</calculatedColumnFormula>
    </tableColumn>
    <tableColumn id="6" xr3:uid="{CCE15F4D-C264-48F9-9F78-06AAF43FF653}" name="Review"/>
    <tableColumn id="7" xr3:uid="{76D10E90-44D4-46A1-ACC1-0F1E7D88DBA1}" name="Rating"/>
    <tableColumn id="16" xr3:uid="{F6ACE833-9D7D-48E0-9D41-D6578E05F834}" name="Rating Category" dataDxfId="22">
      <calculatedColumnFormula>IF(tblProducts[[#This Row],[Rating]]="","Missing",IF(tblProducts[[#This Row],[Rating]]&lt;3,"Poor",IF(tblProducts[[#This Row],[Rating]]&lt;=4.5,"Average","Excellent")))</calculatedColumnFormula>
    </tableColumn>
    <tableColumn id="9" xr3:uid="{2A70D22D-06BE-4CB9-B0B1-29E766C4BCBF}" name="Checking Rating" dataDxfId="21">
      <calculatedColumnFormula>IF(OR(tblProducts[[#This Row],[Rating]]&lt;0,tblProducts[[#This Row],[Rating]]&gt;5),"Check rating","OK")</calculatedColumnFormula>
    </tableColumn>
    <tableColumn id="8" xr3:uid="{941A59CA-EBB1-4769-9819-A1D22D6FF4B6}" name="Data Status" dataDxfId="20">
      <calculatedColumnFormula>IF(AND(J2="",K2=""),"Missing rating and review",IF(J2="","Missing review",IF(K2="","Missing rating","Complete")))</calculatedColumnFormula>
    </tableColumn>
    <tableColumn id="22" xr3:uid="{A95C75DB-CC79-4EB4-A4BF-E66FDA08703E}" name="Engagement Strength" dataDxfId="19">
      <calculatedColumnFormula>IF(J2=" ","Missing",IF(J2&gt;=Review_Q3,"Strong Engagement","Weak Engagement"))</calculatedColumnFormula>
    </tableColumn>
    <tableColumn id="23" xr3:uid="{CD43AB6C-020F-4890-92FD-132CECEA73C2}" name="High Discount + Low Rating" dataDxfId="18">
      <calculatedColumnFormula>IF(OR(G2="",K2=""),"Missing",IF(AND(G2&gt;40%,K2&lt;3),"Yes","No"))</calculatedColumnFormula>
    </tableColumn>
    <tableColumn id="25" xr3:uid="{B27A896D-933D-4C72-ADCE-B275FFCF078E}" name="High Discount + Low Engagement" dataDxfId="17">
      <calculatedColumnFormula>IF(OR(G2="",J2=""),"Missing",IF(AND(G2&gt;40%,J2&lt;Review_Q3),"Yes","No"))</calculatedColumnFormula>
    </tableColumn>
    <tableColumn id="4" xr3:uid="{C0044F63-7328-4D98-8668-B4D37FECFB33}" name="Many Reviews + average rating" dataDxfId="16">
      <calculatedColumnFormula>IF(OR(J2="",K2=""),"Missing",IF(AND(J2&gt;=Review_Q3,K2&gt;=3,K2&lt;=4.5),"Yes","No"))</calculatedColumnFormula>
    </tableColumn>
    <tableColumn id="14" xr3:uid="{04F7C02A-2636-49E8-98B1-D3AC13974A07}" name="Strong Engagement + excellent rating" dataDxfId="15">
      <calculatedColumnFormula>IF(OR(J2="",K2=""),"Missing",IF(AND(J2&gt;=Review_Q3,K2&gt;4.5),"Yes","No"))</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2E177D-43CE-4BBD-921A-077EF000298B}" name="tblDescriptiveStats" displayName="tblDescriptiveStats" ref="A7:C15" totalsRowShown="0">
  <autoFilter ref="A7:C15" xr:uid="{5F2E177D-43CE-4BBD-921A-077EF000298B}"/>
  <tableColumns count="3">
    <tableColumn id="1" xr3:uid="{B07FEFBE-3238-4D7A-A866-A6D64B560517}" name="Metric"/>
    <tableColumn id="2" xr3:uid="{AFD0B2A8-D973-4989-A9B4-88B3A190137C}" name="Statistic" dataDxfId="10">
      <calculatedColumnFormula>COUNTA(tblProducts[Product])</calculatedColumnFormula>
    </tableColumn>
    <tableColumn id="3" xr3:uid="{F56E4BCD-E4F4-4178-8A17-F1D8011BE0DF}" name="Product name" dataDxfId="9">
      <calculatedColumnFormula>_xlfn.XLOOKUP(MAX(tblProducts[Current Price]),tblProducts[Current Price],tblProducts[Product],0)</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2425AF-D742-4826-8284-A5414CAB4AE9}" name="Table6" displayName="Table6" ref="A11:D31" totalsRowShown="0" headerRowDxfId="1" dataDxfId="0">
  <autoFilter ref="A11:D31" xr:uid="{C92425AF-D742-4826-8284-A5414CAB4AE9}"/>
  <tableColumns count="4">
    <tableColumn id="1" xr3:uid="{525C80F7-F653-4BA9-9AE9-FD8E6BDA4FE3}" name="Issue" dataDxfId="5"/>
    <tableColumn id="2" xr3:uid="{18DB77E4-8F49-463F-BA48-3DF3BF3DB3A4}" name="Rows Affected" dataDxfId="4"/>
    <tableColumn id="3" xr3:uid="{B3406929-B756-43EE-BE4B-C5B46C47D283}" name="Decision" dataDxfId="3"/>
    <tableColumn id="4" xr3:uid="{7AE6A753-5667-46B4-B998-5CA64167B20C}" name="Reason"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4FEE-B447-4C4F-8A82-7AAC7E2689F6}">
  <dimension ref="A1:F116"/>
  <sheetViews>
    <sheetView workbookViewId="0">
      <pane ySplit="1" topLeftCell="A2" activePane="bottomLeft" state="frozen"/>
      <selection pane="bottomLeft" activeCell="D1" sqref="D1:D1048576"/>
    </sheetView>
  </sheetViews>
  <sheetFormatPr defaultRowHeight="15" x14ac:dyDescent="0.25"/>
  <cols>
    <col min="1" max="1" width="95" bestFit="1" customWidth="1"/>
    <col min="2" max="2" width="19.42578125" style="1" bestFit="1" customWidth="1"/>
    <col min="3" max="3" width="19.42578125" bestFit="1" customWidth="1"/>
    <col min="4" max="4" width="11.42578125" bestFit="1" customWidth="1"/>
    <col min="5" max="5" width="9.85546875" bestFit="1" customWidth="1"/>
    <col min="6" max="6" width="10.42578125" bestFit="1" customWidth="1"/>
  </cols>
  <sheetData>
    <row r="1" spans="1:6" x14ac:dyDescent="0.25">
      <c r="A1" t="s">
        <v>0</v>
      </c>
      <c r="B1" s="1" t="s">
        <v>1</v>
      </c>
      <c r="C1" t="s">
        <v>2</v>
      </c>
      <c r="D1" t="s">
        <v>3</v>
      </c>
      <c r="E1" t="s">
        <v>4</v>
      </c>
      <c r="F1" t="s">
        <v>5</v>
      </c>
    </row>
    <row r="2" spans="1:6" x14ac:dyDescent="0.25">
      <c r="A2" t="s">
        <v>6</v>
      </c>
      <c r="B2" s="1" t="s">
        <v>7</v>
      </c>
      <c r="C2" t="s">
        <v>8</v>
      </c>
      <c r="D2">
        <v>0.38</v>
      </c>
      <c r="E2">
        <v>-2</v>
      </c>
      <c r="F2" t="s">
        <v>9</v>
      </c>
    </row>
    <row r="3" spans="1:6" x14ac:dyDescent="0.25">
      <c r="A3" t="s">
        <v>10</v>
      </c>
      <c r="B3" s="1" t="s">
        <v>11</v>
      </c>
      <c r="C3" t="s">
        <v>12</v>
      </c>
      <c r="D3">
        <v>0.47</v>
      </c>
      <c r="E3">
        <v>-14</v>
      </c>
      <c r="F3" t="s">
        <v>13</v>
      </c>
    </row>
    <row r="4" spans="1:6" x14ac:dyDescent="0.25">
      <c r="A4" t="s">
        <v>14</v>
      </c>
      <c r="B4" s="1" t="s">
        <v>15</v>
      </c>
      <c r="C4" t="s">
        <v>16</v>
      </c>
      <c r="D4">
        <v>0.25</v>
      </c>
      <c r="E4">
        <v>-24</v>
      </c>
      <c r="F4" t="s">
        <v>17</v>
      </c>
    </row>
    <row r="5" spans="1:6" x14ac:dyDescent="0.25">
      <c r="A5" t="s">
        <v>18</v>
      </c>
      <c r="B5" s="1" t="s">
        <v>19</v>
      </c>
      <c r="C5" t="s">
        <v>20</v>
      </c>
      <c r="D5">
        <v>0.37</v>
      </c>
      <c r="E5">
        <v>-7</v>
      </c>
      <c r="F5" t="s">
        <v>21</v>
      </c>
    </row>
    <row r="6" spans="1:6" x14ac:dyDescent="0.25">
      <c r="A6" t="s">
        <v>22</v>
      </c>
      <c r="B6" s="1" t="s">
        <v>23</v>
      </c>
      <c r="C6" t="s">
        <v>24</v>
      </c>
      <c r="D6">
        <v>0.26</v>
      </c>
      <c r="E6">
        <v>-5</v>
      </c>
      <c r="F6" t="s">
        <v>25</v>
      </c>
    </row>
    <row r="7" spans="1:6" x14ac:dyDescent="0.25">
      <c r="A7" t="s">
        <v>26</v>
      </c>
      <c r="B7" s="1" t="s">
        <v>27</v>
      </c>
      <c r="C7" t="s">
        <v>28</v>
      </c>
      <c r="D7">
        <v>0.09</v>
      </c>
      <c r="E7">
        <v>-15</v>
      </c>
      <c r="F7" t="s">
        <v>29</v>
      </c>
    </row>
    <row r="8" spans="1:6" x14ac:dyDescent="0.25">
      <c r="A8" t="s">
        <v>30</v>
      </c>
      <c r="B8" s="1" t="s">
        <v>31</v>
      </c>
      <c r="C8" t="s">
        <v>32</v>
      </c>
      <c r="D8">
        <v>0.24</v>
      </c>
      <c r="E8">
        <v>-55</v>
      </c>
      <c r="F8" t="s">
        <v>17</v>
      </c>
    </row>
    <row r="9" spans="1:6" x14ac:dyDescent="0.25">
      <c r="A9" t="s">
        <v>33</v>
      </c>
      <c r="B9" s="1" t="s">
        <v>34</v>
      </c>
      <c r="C9" t="s">
        <v>19</v>
      </c>
      <c r="D9">
        <v>0.37</v>
      </c>
      <c r="E9">
        <v>-2</v>
      </c>
      <c r="F9" t="s">
        <v>29</v>
      </c>
    </row>
    <row r="10" spans="1:6" x14ac:dyDescent="0.25">
      <c r="A10" t="s">
        <v>35</v>
      </c>
      <c r="B10" s="1" t="s">
        <v>36</v>
      </c>
      <c r="C10" t="s">
        <v>37</v>
      </c>
      <c r="D10">
        <v>0.55000000000000004</v>
      </c>
      <c r="E10">
        <v>-5</v>
      </c>
      <c r="F10" t="s">
        <v>25</v>
      </c>
    </row>
    <row r="11" spans="1:6" x14ac:dyDescent="0.25">
      <c r="A11" t="s">
        <v>38</v>
      </c>
      <c r="B11" s="1" t="s">
        <v>39</v>
      </c>
      <c r="C11" t="s">
        <v>40</v>
      </c>
      <c r="D11">
        <v>0.45</v>
      </c>
      <c r="E11">
        <v>-5</v>
      </c>
      <c r="F11" t="s">
        <v>41</v>
      </c>
    </row>
    <row r="12" spans="1:6" x14ac:dyDescent="0.25">
      <c r="A12" t="s">
        <v>42</v>
      </c>
      <c r="B12" s="1" t="s">
        <v>43</v>
      </c>
      <c r="C12" t="s">
        <v>12</v>
      </c>
      <c r="D12">
        <v>0.2</v>
      </c>
      <c r="E12">
        <v>-12</v>
      </c>
      <c r="F12" t="s">
        <v>13</v>
      </c>
    </row>
    <row r="13" spans="1:6" x14ac:dyDescent="0.25">
      <c r="A13" t="s">
        <v>44</v>
      </c>
      <c r="B13" s="1" t="s">
        <v>45</v>
      </c>
      <c r="C13" t="s">
        <v>46</v>
      </c>
      <c r="D13">
        <v>0.34</v>
      </c>
      <c r="E13">
        <v>-39</v>
      </c>
      <c r="F13" t="s">
        <v>21</v>
      </c>
    </row>
    <row r="14" spans="1:6" x14ac:dyDescent="0.25">
      <c r="A14" t="s">
        <v>47</v>
      </c>
      <c r="B14" s="1" t="s">
        <v>48</v>
      </c>
      <c r="C14" t="s">
        <v>49</v>
      </c>
      <c r="D14">
        <v>0.47</v>
      </c>
      <c r="E14">
        <v>-12</v>
      </c>
      <c r="F14" t="s">
        <v>25</v>
      </c>
    </row>
    <row r="15" spans="1:6" x14ac:dyDescent="0.25">
      <c r="A15" t="s">
        <v>50</v>
      </c>
      <c r="B15" s="1" t="s">
        <v>51</v>
      </c>
      <c r="C15" t="s">
        <v>52</v>
      </c>
      <c r="D15">
        <v>0.42</v>
      </c>
      <c r="E15">
        <v>-6</v>
      </c>
      <c r="F15" t="s">
        <v>9</v>
      </c>
    </row>
    <row r="16" spans="1:6" x14ac:dyDescent="0.25">
      <c r="A16" t="s">
        <v>53</v>
      </c>
      <c r="B16" s="1" t="s">
        <v>54</v>
      </c>
      <c r="C16" t="s">
        <v>20</v>
      </c>
      <c r="D16">
        <v>0.33</v>
      </c>
      <c r="E16">
        <v>-9</v>
      </c>
      <c r="F16" t="s">
        <v>55</v>
      </c>
    </row>
    <row r="17" spans="1:6" x14ac:dyDescent="0.25">
      <c r="A17" t="s">
        <v>56</v>
      </c>
      <c r="B17" s="1" t="s">
        <v>57</v>
      </c>
      <c r="C17" t="s">
        <v>58</v>
      </c>
      <c r="D17">
        <v>0.51</v>
      </c>
      <c r="E17">
        <v>-2</v>
      </c>
      <c r="F17" t="s">
        <v>59</v>
      </c>
    </row>
    <row r="18" spans="1:6" x14ac:dyDescent="0.25">
      <c r="A18" t="s">
        <v>60</v>
      </c>
      <c r="B18" s="1" t="s">
        <v>61</v>
      </c>
      <c r="C18" t="s">
        <v>62</v>
      </c>
      <c r="D18">
        <v>0.46</v>
      </c>
      <c r="E18">
        <v>-2</v>
      </c>
      <c r="F18" t="s">
        <v>59</v>
      </c>
    </row>
    <row r="19" spans="1:6" x14ac:dyDescent="0.25">
      <c r="A19" t="s">
        <v>63</v>
      </c>
      <c r="B19" s="1" t="s">
        <v>64</v>
      </c>
      <c r="C19" t="s">
        <v>65</v>
      </c>
      <c r="D19">
        <v>0.49</v>
      </c>
      <c r="E19">
        <v>-3</v>
      </c>
      <c r="F19" t="s">
        <v>59</v>
      </c>
    </row>
    <row r="20" spans="1:6" x14ac:dyDescent="0.25">
      <c r="A20" t="s">
        <v>66</v>
      </c>
      <c r="B20" s="1" t="s">
        <v>27</v>
      </c>
      <c r="C20" t="s">
        <v>67</v>
      </c>
      <c r="D20">
        <v>0.19</v>
      </c>
      <c r="E20">
        <v>-5</v>
      </c>
      <c r="F20" t="s">
        <v>17</v>
      </c>
    </row>
    <row r="21" spans="1:6" x14ac:dyDescent="0.25">
      <c r="A21" t="s">
        <v>68</v>
      </c>
      <c r="B21" s="1" t="s">
        <v>69</v>
      </c>
      <c r="C21" t="s">
        <v>70</v>
      </c>
      <c r="D21">
        <v>0.49</v>
      </c>
      <c r="E21">
        <v>-44</v>
      </c>
      <c r="F21" t="s">
        <v>17</v>
      </c>
    </row>
    <row r="22" spans="1:6" x14ac:dyDescent="0.25">
      <c r="A22" t="s">
        <v>71</v>
      </c>
      <c r="B22" s="1" t="s">
        <v>72</v>
      </c>
      <c r="C22" t="s">
        <v>73</v>
      </c>
      <c r="D22">
        <v>0.53</v>
      </c>
      <c r="E22">
        <v>-13</v>
      </c>
      <c r="F22" t="s">
        <v>74</v>
      </c>
    </row>
    <row r="23" spans="1:6" x14ac:dyDescent="0.25">
      <c r="A23" t="s">
        <v>75</v>
      </c>
      <c r="B23" s="1" t="s">
        <v>76</v>
      </c>
      <c r="C23" t="s">
        <v>77</v>
      </c>
      <c r="D23">
        <v>0.42</v>
      </c>
      <c r="F23" t="s">
        <v>78</v>
      </c>
    </row>
    <row r="24" spans="1:6" x14ac:dyDescent="0.25">
      <c r="A24" t="s">
        <v>79</v>
      </c>
      <c r="B24" s="1" t="s">
        <v>80</v>
      </c>
      <c r="C24" t="s">
        <v>81</v>
      </c>
      <c r="D24">
        <v>0.35</v>
      </c>
      <c r="E24">
        <v>-6</v>
      </c>
      <c r="F24" t="s">
        <v>29</v>
      </c>
    </row>
    <row r="25" spans="1:6" x14ac:dyDescent="0.25">
      <c r="A25" t="s">
        <v>82</v>
      </c>
      <c r="B25" s="1" t="s">
        <v>83</v>
      </c>
      <c r="C25" t="s">
        <v>84</v>
      </c>
      <c r="D25">
        <v>0.23</v>
      </c>
      <c r="E25">
        <v>-14</v>
      </c>
      <c r="F25" t="s">
        <v>85</v>
      </c>
    </row>
    <row r="26" spans="1:6" x14ac:dyDescent="0.25">
      <c r="A26" t="s">
        <v>86</v>
      </c>
      <c r="B26" s="1" t="s">
        <v>87</v>
      </c>
      <c r="C26" t="s">
        <v>88</v>
      </c>
      <c r="D26">
        <v>0.54</v>
      </c>
      <c r="E26">
        <v>-7</v>
      </c>
      <c r="F26" t="s">
        <v>89</v>
      </c>
    </row>
    <row r="27" spans="1:6" x14ac:dyDescent="0.25">
      <c r="A27" t="s">
        <v>90</v>
      </c>
      <c r="B27" s="1" t="s">
        <v>91</v>
      </c>
      <c r="C27" t="s">
        <v>92</v>
      </c>
      <c r="D27">
        <v>0.35</v>
      </c>
      <c r="E27">
        <v>-49</v>
      </c>
      <c r="F27" t="s">
        <v>17</v>
      </c>
    </row>
    <row r="28" spans="1:6" x14ac:dyDescent="0.25">
      <c r="A28" t="s">
        <v>93</v>
      </c>
      <c r="B28" s="1" t="s">
        <v>94</v>
      </c>
      <c r="C28" t="s">
        <v>95</v>
      </c>
      <c r="D28">
        <v>0.18</v>
      </c>
      <c r="E28">
        <v>-12</v>
      </c>
      <c r="F28" t="s">
        <v>41</v>
      </c>
    </row>
    <row r="29" spans="1:6" x14ac:dyDescent="0.25">
      <c r="A29" t="s">
        <v>96</v>
      </c>
      <c r="B29" s="1" t="s">
        <v>81</v>
      </c>
      <c r="C29" t="s">
        <v>97</v>
      </c>
      <c r="D29">
        <v>0.32</v>
      </c>
      <c r="E29">
        <v>-13</v>
      </c>
      <c r="F29" t="s">
        <v>41</v>
      </c>
    </row>
    <row r="30" spans="1:6" x14ac:dyDescent="0.25">
      <c r="A30" t="s">
        <v>98</v>
      </c>
      <c r="B30" s="1" t="s">
        <v>99</v>
      </c>
      <c r="C30" t="s">
        <v>20</v>
      </c>
      <c r="D30">
        <v>0.3</v>
      </c>
      <c r="E30">
        <v>-20</v>
      </c>
      <c r="F30" t="s">
        <v>13</v>
      </c>
    </row>
    <row r="31" spans="1:6" x14ac:dyDescent="0.25">
      <c r="A31" t="s">
        <v>100</v>
      </c>
      <c r="B31" s="1" t="s">
        <v>101</v>
      </c>
      <c r="C31" t="s">
        <v>102</v>
      </c>
      <c r="D31">
        <v>0.46</v>
      </c>
      <c r="F31" t="s">
        <v>78</v>
      </c>
    </row>
    <row r="32" spans="1:6" x14ac:dyDescent="0.25">
      <c r="A32" t="s">
        <v>103</v>
      </c>
      <c r="B32" s="1" t="s">
        <v>104</v>
      </c>
      <c r="C32" t="s">
        <v>105</v>
      </c>
      <c r="D32">
        <v>0.52</v>
      </c>
      <c r="E32">
        <v>-9</v>
      </c>
      <c r="F32" t="s">
        <v>89</v>
      </c>
    </row>
    <row r="33" spans="1:6" x14ac:dyDescent="0.25">
      <c r="A33" t="s">
        <v>106</v>
      </c>
      <c r="B33" s="1" t="s">
        <v>107</v>
      </c>
      <c r="C33" t="s">
        <v>108</v>
      </c>
      <c r="D33">
        <v>0.34</v>
      </c>
      <c r="E33">
        <v>-12</v>
      </c>
      <c r="F33" t="s">
        <v>21</v>
      </c>
    </row>
    <row r="34" spans="1:6" x14ac:dyDescent="0.25">
      <c r="A34" t="s">
        <v>109</v>
      </c>
      <c r="B34" s="1" t="s">
        <v>110</v>
      </c>
      <c r="C34" t="s">
        <v>111</v>
      </c>
      <c r="D34">
        <v>0.48</v>
      </c>
      <c r="E34">
        <v>-9</v>
      </c>
      <c r="F34" t="s">
        <v>89</v>
      </c>
    </row>
    <row r="35" spans="1:6" x14ac:dyDescent="0.25">
      <c r="A35" t="s">
        <v>112</v>
      </c>
      <c r="B35" s="1" t="s">
        <v>113</v>
      </c>
      <c r="C35" t="s">
        <v>114</v>
      </c>
      <c r="D35">
        <v>0.27</v>
      </c>
      <c r="E35">
        <v>-20</v>
      </c>
      <c r="F35" t="s">
        <v>21</v>
      </c>
    </row>
    <row r="36" spans="1:6" x14ac:dyDescent="0.25">
      <c r="A36" t="s">
        <v>115</v>
      </c>
      <c r="B36" s="1" t="s">
        <v>116</v>
      </c>
      <c r="C36" t="s">
        <v>117</v>
      </c>
      <c r="D36">
        <v>0.27</v>
      </c>
      <c r="E36">
        <v>-32</v>
      </c>
      <c r="F36" t="s">
        <v>9</v>
      </c>
    </row>
    <row r="37" spans="1:6" x14ac:dyDescent="0.25">
      <c r="A37" t="s">
        <v>118</v>
      </c>
      <c r="B37" s="1" t="s">
        <v>119</v>
      </c>
      <c r="C37" t="s">
        <v>120</v>
      </c>
      <c r="D37">
        <v>0.4</v>
      </c>
      <c r="E37">
        <v>-1</v>
      </c>
      <c r="F37" t="s">
        <v>59</v>
      </c>
    </row>
    <row r="38" spans="1:6" x14ac:dyDescent="0.25">
      <c r="A38" t="s">
        <v>121</v>
      </c>
      <c r="B38" s="1" t="s">
        <v>122</v>
      </c>
      <c r="C38" t="s">
        <v>62</v>
      </c>
      <c r="D38">
        <v>0.53</v>
      </c>
      <c r="E38">
        <v>-2</v>
      </c>
      <c r="F38" t="s">
        <v>59</v>
      </c>
    </row>
    <row r="39" spans="1:6" x14ac:dyDescent="0.25">
      <c r="A39" t="s">
        <v>123</v>
      </c>
      <c r="B39" s="1" t="s">
        <v>124</v>
      </c>
      <c r="C39" t="s">
        <v>125</v>
      </c>
      <c r="D39">
        <v>0.41</v>
      </c>
      <c r="E39">
        <v>-36</v>
      </c>
      <c r="F39" t="s">
        <v>89</v>
      </c>
    </row>
    <row r="40" spans="1:6" x14ac:dyDescent="0.25">
      <c r="A40" t="s">
        <v>126</v>
      </c>
      <c r="B40" s="1" t="s">
        <v>127</v>
      </c>
      <c r="C40" t="s">
        <v>128</v>
      </c>
      <c r="D40">
        <v>0.38</v>
      </c>
      <c r="E40">
        <v>-2</v>
      </c>
      <c r="F40" t="s">
        <v>9</v>
      </c>
    </row>
    <row r="41" spans="1:6" x14ac:dyDescent="0.25">
      <c r="A41" t="s">
        <v>129</v>
      </c>
      <c r="B41" s="1" t="s">
        <v>130</v>
      </c>
      <c r="C41" t="s">
        <v>131</v>
      </c>
      <c r="D41">
        <v>0.38</v>
      </c>
      <c r="F41" t="s">
        <v>78</v>
      </c>
    </row>
    <row r="42" spans="1:6" x14ac:dyDescent="0.25">
      <c r="A42" t="s">
        <v>132</v>
      </c>
      <c r="B42" s="1" t="s">
        <v>133</v>
      </c>
      <c r="C42" t="s">
        <v>134</v>
      </c>
      <c r="D42">
        <v>0.49</v>
      </c>
      <c r="F42" t="s">
        <v>78</v>
      </c>
    </row>
    <row r="43" spans="1:6" x14ac:dyDescent="0.25">
      <c r="A43" t="s">
        <v>135</v>
      </c>
      <c r="B43" s="1" t="s">
        <v>136</v>
      </c>
      <c r="C43" t="s">
        <v>137</v>
      </c>
      <c r="D43">
        <v>0.5</v>
      </c>
      <c r="F43" t="s">
        <v>78</v>
      </c>
    </row>
    <row r="44" spans="1:6" x14ac:dyDescent="0.25">
      <c r="A44" t="s">
        <v>138</v>
      </c>
      <c r="B44" s="1" t="s">
        <v>139</v>
      </c>
      <c r="C44" t="s">
        <v>140</v>
      </c>
      <c r="D44">
        <v>0.42</v>
      </c>
      <c r="F44" t="s">
        <v>78</v>
      </c>
    </row>
    <row r="45" spans="1:6" x14ac:dyDescent="0.25">
      <c r="A45" t="s">
        <v>138</v>
      </c>
      <c r="B45" s="1" t="s">
        <v>139</v>
      </c>
      <c r="C45" t="s">
        <v>140</v>
      </c>
      <c r="D45">
        <v>0.42</v>
      </c>
      <c r="F45" t="s">
        <v>78</v>
      </c>
    </row>
    <row r="46" spans="1:6" x14ac:dyDescent="0.25">
      <c r="A46" t="s">
        <v>141</v>
      </c>
      <c r="B46" s="1" t="s">
        <v>142</v>
      </c>
      <c r="C46" t="s">
        <v>143</v>
      </c>
      <c r="D46">
        <v>0.02</v>
      </c>
      <c r="F46" t="s">
        <v>78</v>
      </c>
    </row>
    <row r="47" spans="1:6" x14ac:dyDescent="0.25">
      <c r="A47" t="s">
        <v>144</v>
      </c>
      <c r="B47" s="1" t="s">
        <v>12</v>
      </c>
      <c r="C47" t="s">
        <v>145</v>
      </c>
      <c r="D47">
        <v>0.5</v>
      </c>
      <c r="F47" t="s">
        <v>78</v>
      </c>
    </row>
    <row r="48" spans="1:6" x14ac:dyDescent="0.25">
      <c r="A48" t="s">
        <v>146</v>
      </c>
      <c r="B48" s="1" t="s">
        <v>147</v>
      </c>
      <c r="C48" t="s">
        <v>148</v>
      </c>
      <c r="D48">
        <v>0.33</v>
      </c>
      <c r="F48" t="s">
        <v>78</v>
      </c>
    </row>
    <row r="49" spans="1:6" x14ac:dyDescent="0.25">
      <c r="A49" t="s">
        <v>149</v>
      </c>
      <c r="B49" s="1" t="s">
        <v>150</v>
      </c>
      <c r="C49" t="s">
        <v>151</v>
      </c>
      <c r="D49">
        <v>0.49</v>
      </c>
      <c r="F49" t="s">
        <v>78</v>
      </c>
    </row>
    <row r="50" spans="1:6" x14ac:dyDescent="0.25">
      <c r="A50" t="s">
        <v>152</v>
      </c>
      <c r="B50" s="1" t="s">
        <v>153</v>
      </c>
      <c r="C50" t="s">
        <v>154</v>
      </c>
      <c r="D50">
        <v>0.38</v>
      </c>
      <c r="F50" t="s">
        <v>78</v>
      </c>
    </row>
    <row r="51" spans="1:6" x14ac:dyDescent="0.25">
      <c r="A51" t="s">
        <v>155</v>
      </c>
      <c r="B51" s="1" t="s">
        <v>156</v>
      </c>
      <c r="C51" t="s">
        <v>157</v>
      </c>
      <c r="D51">
        <v>0.61</v>
      </c>
      <c r="F51" t="s">
        <v>78</v>
      </c>
    </row>
    <row r="52" spans="1:6" x14ac:dyDescent="0.25">
      <c r="A52" t="s">
        <v>158</v>
      </c>
      <c r="B52" s="1" t="s">
        <v>159</v>
      </c>
      <c r="C52" t="s">
        <v>160</v>
      </c>
      <c r="D52">
        <v>0.5</v>
      </c>
      <c r="F52" t="s">
        <v>78</v>
      </c>
    </row>
    <row r="53" spans="1:6" x14ac:dyDescent="0.25">
      <c r="A53" t="s">
        <v>161</v>
      </c>
      <c r="B53" s="1" t="s">
        <v>162</v>
      </c>
      <c r="C53" t="s">
        <v>163</v>
      </c>
      <c r="D53">
        <v>0.02</v>
      </c>
      <c r="F53" t="s">
        <v>78</v>
      </c>
    </row>
    <row r="54" spans="1:6" x14ac:dyDescent="0.25">
      <c r="A54" t="s">
        <v>164</v>
      </c>
      <c r="B54" s="1" t="s">
        <v>159</v>
      </c>
      <c r="C54" t="s">
        <v>165</v>
      </c>
      <c r="D54">
        <v>0.22</v>
      </c>
      <c r="F54" t="s">
        <v>78</v>
      </c>
    </row>
    <row r="55" spans="1:6" x14ac:dyDescent="0.25">
      <c r="A55" t="s">
        <v>166</v>
      </c>
      <c r="B55" s="1" t="s">
        <v>167</v>
      </c>
      <c r="C55" t="s">
        <v>168</v>
      </c>
      <c r="D55">
        <v>0.03</v>
      </c>
      <c r="F55" t="s">
        <v>78</v>
      </c>
    </row>
    <row r="56" spans="1:6" x14ac:dyDescent="0.25">
      <c r="A56" t="s">
        <v>169</v>
      </c>
      <c r="B56" s="1" t="s">
        <v>43</v>
      </c>
      <c r="C56" t="s">
        <v>170</v>
      </c>
      <c r="D56">
        <v>0.41</v>
      </c>
      <c r="F56" t="s">
        <v>78</v>
      </c>
    </row>
    <row r="57" spans="1:6" x14ac:dyDescent="0.25">
      <c r="A57" t="s">
        <v>171</v>
      </c>
      <c r="B57" s="1" t="s">
        <v>172</v>
      </c>
      <c r="C57" t="s">
        <v>173</v>
      </c>
      <c r="D57">
        <v>0.45</v>
      </c>
      <c r="F57" t="s">
        <v>78</v>
      </c>
    </row>
    <row r="58" spans="1:6" x14ac:dyDescent="0.25">
      <c r="A58" t="s">
        <v>174</v>
      </c>
      <c r="B58" s="1" t="s">
        <v>175</v>
      </c>
      <c r="C58" t="s">
        <v>170</v>
      </c>
      <c r="D58">
        <v>0.48</v>
      </c>
      <c r="F58" t="s">
        <v>78</v>
      </c>
    </row>
    <row r="59" spans="1:6" x14ac:dyDescent="0.25">
      <c r="A59" t="s">
        <v>176</v>
      </c>
      <c r="B59" s="1" t="s">
        <v>43</v>
      </c>
      <c r="C59" t="s">
        <v>177</v>
      </c>
      <c r="D59">
        <v>0.49</v>
      </c>
      <c r="F59" t="s">
        <v>78</v>
      </c>
    </row>
    <row r="60" spans="1:6" x14ac:dyDescent="0.25">
      <c r="A60" t="s">
        <v>178</v>
      </c>
      <c r="B60" s="1" t="s">
        <v>179</v>
      </c>
      <c r="C60" t="s">
        <v>180</v>
      </c>
      <c r="D60">
        <v>0.27</v>
      </c>
      <c r="F60" t="s">
        <v>78</v>
      </c>
    </row>
    <row r="61" spans="1:6" x14ac:dyDescent="0.25">
      <c r="A61" t="s">
        <v>171</v>
      </c>
      <c r="B61" s="1" t="s">
        <v>181</v>
      </c>
      <c r="C61" t="s">
        <v>182</v>
      </c>
      <c r="D61">
        <v>0.55000000000000004</v>
      </c>
      <c r="F61" t="s">
        <v>78</v>
      </c>
    </row>
    <row r="62" spans="1:6" x14ac:dyDescent="0.25">
      <c r="A62" t="s">
        <v>183</v>
      </c>
      <c r="B62" s="1" t="s">
        <v>184</v>
      </c>
      <c r="C62" t="s">
        <v>185</v>
      </c>
      <c r="D62">
        <v>0.13</v>
      </c>
      <c r="E62">
        <v>-6</v>
      </c>
      <c r="F62" t="s">
        <v>186</v>
      </c>
    </row>
    <row r="63" spans="1:6" x14ac:dyDescent="0.25">
      <c r="A63" t="s">
        <v>187</v>
      </c>
      <c r="B63" s="1" t="s">
        <v>188</v>
      </c>
      <c r="C63" t="s">
        <v>189</v>
      </c>
      <c r="D63">
        <v>0.54</v>
      </c>
      <c r="E63">
        <v>-10</v>
      </c>
      <c r="F63" t="s">
        <v>190</v>
      </c>
    </row>
    <row r="64" spans="1:6" x14ac:dyDescent="0.25">
      <c r="A64" t="s">
        <v>191</v>
      </c>
      <c r="B64" s="1" t="s">
        <v>192</v>
      </c>
      <c r="C64" t="s">
        <v>193</v>
      </c>
      <c r="D64">
        <v>0.55000000000000004</v>
      </c>
      <c r="E64">
        <v>-13</v>
      </c>
      <c r="F64" t="s">
        <v>194</v>
      </c>
    </row>
    <row r="65" spans="1:6" x14ac:dyDescent="0.25">
      <c r="A65" t="s">
        <v>195</v>
      </c>
      <c r="B65" s="1" t="s">
        <v>196</v>
      </c>
      <c r="C65" t="s">
        <v>197</v>
      </c>
      <c r="D65">
        <v>0.49</v>
      </c>
      <c r="E65">
        <v>-69</v>
      </c>
      <c r="F65" t="s">
        <v>198</v>
      </c>
    </row>
    <row r="66" spans="1:6" x14ac:dyDescent="0.25">
      <c r="A66" t="s">
        <v>199</v>
      </c>
      <c r="B66" s="1" t="s">
        <v>200</v>
      </c>
      <c r="C66" t="s">
        <v>201</v>
      </c>
      <c r="D66">
        <v>0.52</v>
      </c>
      <c r="E66">
        <v>-15</v>
      </c>
      <c r="F66" t="s">
        <v>202</v>
      </c>
    </row>
    <row r="67" spans="1:6" x14ac:dyDescent="0.25">
      <c r="A67" t="s">
        <v>203</v>
      </c>
      <c r="B67" s="1" t="s">
        <v>204</v>
      </c>
      <c r="C67" t="s">
        <v>205</v>
      </c>
      <c r="D67">
        <v>0.22</v>
      </c>
      <c r="E67">
        <v>-16</v>
      </c>
      <c r="F67" t="s">
        <v>206</v>
      </c>
    </row>
    <row r="68" spans="1:6" x14ac:dyDescent="0.25">
      <c r="A68" t="s">
        <v>207</v>
      </c>
      <c r="B68" s="1" t="s">
        <v>45</v>
      </c>
      <c r="C68" t="s">
        <v>208</v>
      </c>
      <c r="D68">
        <v>0.45</v>
      </c>
      <c r="E68">
        <v>-6</v>
      </c>
      <c r="F68" t="s">
        <v>209</v>
      </c>
    </row>
    <row r="69" spans="1:6" x14ac:dyDescent="0.25">
      <c r="A69" t="s">
        <v>210</v>
      </c>
      <c r="B69" s="1" t="s">
        <v>211</v>
      </c>
      <c r="C69" t="s">
        <v>145</v>
      </c>
      <c r="D69">
        <v>0.5</v>
      </c>
      <c r="E69">
        <v>-7</v>
      </c>
      <c r="F69" t="s">
        <v>212</v>
      </c>
    </row>
    <row r="70" spans="1:6" x14ac:dyDescent="0.25">
      <c r="A70" t="s">
        <v>213</v>
      </c>
      <c r="B70" s="1" t="s">
        <v>214</v>
      </c>
      <c r="C70" t="s">
        <v>215</v>
      </c>
      <c r="D70">
        <v>0.39</v>
      </c>
      <c r="E70">
        <v>-5</v>
      </c>
      <c r="F70" t="s">
        <v>190</v>
      </c>
    </row>
    <row r="71" spans="1:6" x14ac:dyDescent="0.25">
      <c r="A71" t="s">
        <v>216</v>
      </c>
      <c r="B71" s="1" t="s">
        <v>105</v>
      </c>
      <c r="C71" t="s">
        <v>217</v>
      </c>
      <c r="D71">
        <v>0.45</v>
      </c>
      <c r="E71">
        <v>-17</v>
      </c>
      <c r="F71" t="s">
        <v>218</v>
      </c>
    </row>
    <row r="72" spans="1:6" x14ac:dyDescent="0.25">
      <c r="A72" t="s">
        <v>219</v>
      </c>
      <c r="B72" s="1" t="s">
        <v>220</v>
      </c>
      <c r="C72" t="s">
        <v>221</v>
      </c>
      <c r="D72">
        <v>0.28999999999999998</v>
      </c>
      <c r="E72">
        <v>-5</v>
      </c>
      <c r="F72" t="s">
        <v>190</v>
      </c>
    </row>
    <row r="73" spans="1:6" x14ac:dyDescent="0.25">
      <c r="A73" t="s">
        <v>222</v>
      </c>
      <c r="B73" s="1" t="s">
        <v>223</v>
      </c>
      <c r="C73" t="s">
        <v>224</v>
      </c>
      <c r="D73">
        <v>0.43</v>
      </c>
      <c r="E73">
        <v>-6</v>
      </c>
      <c r="F73" t="s">
        <v>212</v>
      </c>
    </row>
    <row r="74" spans="1:6" x14ac:dyDescent="0.25">
      <c r="A74" t="s">
        <v>225</v>
      </c>
      <c r="B74" s="1" t="s">
        <v>226</v>
      </c>
      <c r="C74" t="s">
        <v>227</v>
      </c>
      <c r="D74">
        <v>0.43</v>
      </c>
      <c r="E74">
        <v>-5</v>
      </c>
      <c r="F74" t="s">
        <v>190</v>
      </c>
    </row>
    <row r="75" spans="1:6" x14ac:dyDescent="0.25">
      <c r="A75" t="s">
        <v>228</v>
      </c>
      <c r="B75" s="1" t="s">
        <v>229</v>
      </c>
      <c r="C75" t="s">
        <v>208</v>
      </c>
      <c r="D75">
        <v>0.47</v>
      </c>
      <c r="E75">
        <v>-6</v>
      </c>
      <c r="F75" t="s">
        <v>209</v>
      </c>
    </row>
    <row r="76" spans="1:6" x14ac:dyDescent="0.25">
      <c r="A76" t="s">
        <v>230</v>
      </c>
      <c r="B76" s="1" t="s">
        <v>231</v>
      </c>
      <c r="C76" t="s">
        <v>232</v>
      </c>
      <c r="D76">
        <v>0.47</v>
      </c>
      <c r="E76">
        <v>-7</v>
      </c>
      <c r="F76" t="s">
        <v>194</v>
      </c>
    </row>
    <row r="77" spans="1:6" x14ac:dyDescent="0.25">
      <c r="A77" t="s">
        <v>233</v>
      </c>
      <c r="B77" s="1" t="s">
        <v>234</v>
      </c>
      <c r="C77" t="s">
        <v>235</v>
      </c>
      <c r="D77">
        <v>0.47</v>
      </c>
      <c r="F77" t="s">
        <v>78</v>
      </c>
    </row>
    <row r="78" spans="1:6" x14ac:dyDescent="0.25">
      <c r="A78" t="s">
        <v>236</v>
      </c>
      <c r="B78" s="1" t="s">
        <v>237</v>
      </c>
      <c r="C78" t="s">
        <v>153</v>
      </c>
      <c r="D78">
        <v>0.43</v>
      </c>
      <c r="F78" t="s">
        <v>78</v>
      </c>
    </row>
    <row r="79" spans="1:6" x14ac:dyDescent="0.25">
      <c r="A79" t="s">
        <v>238</v>
      </c>
      <c r="B79" s="1" t="s">
        <v>239</v>
      </c>
      <c r="C79" t="s">
        <v>240</v>
      </c>
      <c r="D79">
        <v>0.04</v>
      </c>
      <c r="F79" t="s">
        <v>78</v>
      </c>
    </row>
    <row r="80" spans="1:6" x14ac:dyDescent="0.25">
      <c r="A80" t="s">
        <v>241</v>
      </c>
      <c r="B80" s="1" t="s">
        <v>242</v>
      </c>
      <c r="C80" t="s">
        <v>243</v>
      </c>
      <c r="D80">
        <v>0.49</v>
      </c>
      <c r="F80" t="s">
        <v>78</v>
      </c>
    </row>
    <row r="81" spans="1:6" x14ac:dyDescent="0.25">
      <c r="A81" t="s">
        <v>244</v>
      </c>
      <c r="B81" s="1" t="s">
        <v>245</v>
      </c>
      <c r="C81" t="s">
        <v>15</v>
      </c>
      <c r="D81">
        <v>0.46</v>
      </c>
      <c r="E81">
        <v>-1</v>
      </c>
      <c r="F81" t="s">
        <v>190</v>
      </c>
    </row>
    <row r="82" spans="1:6" x14ac:dyDescent="0.25">
      <c r="A82" t="s">
        <v>246</v>
      </c>
      <c r="B82" s="1" t="s">
        <v>247</v>
      </c>
      <c r="C82" t="s">
        <v>248</v>
      </c>
      <c r="D82">
        <v>0.49</v>
      </c>
      <c r="E82">
        <v>-1</v>
      </c>
      <c r="F82" t="s">
        <v>59</v>
      </c>
    </row>
    <row r="83" spans="1:6" x14ac:dyDescent="0.25">
      <c r="A83" t="s">
        <v>249</v>
      </c>
      <c r="B83" s="1" t="s">
        <v>250</v>
      </c>
      <c r="C83" t="s">
        <v>251</v>
      </c>
      <c r="D83">
        <v>0.36</v>
      </c>
      <c r="F83" t="s">
        <v>78</v>
      </c>
    </row>
    <row r="84" spans="1:6" x14ac:dyDescent="0.25">
      <c r="A84" t="s">
        <v>252</v>
      </c>
      <c r="B84" s="1" t="s">
        <v>253</v>
      </c>
      <c r="C84" t="s">
        <v>163</v>
      </c>
      <c r="D84">
        <v>0.02</v>
      </c>
      <c r="F84" t="s">
        <v>78</v>
      </c>
    </row>
    <row r="85" spans="1:6" x14ac:dyDescent="0.25">
      <c r="A85" t="s">
        <v>254</v>
      </c>
      <c r="B85" s="1" t="s">
        <v>255</v>
      </c>
      <c r="C85" t="s">
        <v>92</v>
      </c>
      <c r="D85">
        <v>0.49</v>
      </c>
      <c r="E85">
        <v>-1</v>
      </c>
      <c r="F85" t="s">
        <v>29</v>
      </c>
    </row>
    <row r="86" spans="1:6" x14ac:dyDescent="0.25">
      <c r="A86" t="s">
        <v>138</v>
      </c>
      <c r="B86" s="1" t="s">
        <v>139</v>
      </c>
      <c r="C86" t="s">
        <v>140</v>
      </c>
      <c r="D86">
        <v>0.42</v>
      </c>
      <c r="F86" t="s">
        <v>78</v>
      </c>
    </row>
    <row r="87" spans="1:6" x14ac:dyDescent="0.25">
      <c r="A87" t="s">
        <v>155</v>
      </c>
      <c r="B87" s="1" t="s">
        <v>256</v>
      </c>
      <c r="C87" t="s">
        <v>223</v>
      </c>
      <c r="D87">
        <v>0.49</v>
      </c>
      <c r="F87" t="s">
        <v>78</v>
      </c>
    </row>
    <row r="88" spans="1:6" x14ac:dyDescent="0.25">
      <c r="A88" t="s">
        <v>257</v>
      </c>
      <c r="B88" s="1" t="s">
        <v>258</v>
      </c>
      <c r="C88" t="s">
        <v>163</v>
      </c>
      <c r="D88">
        <v>0.14000000000000001</v>
      </c>
      <c r="F88" t="s">
        <v>78</v>
      </c>
    </row>
    <row r="89" spans="1:6" x14ac:dyDescent="0.25">
      <c r="A89" t="s">
        <v>259</v>
      </c>
      <c r="B89" s="1" t="s">
        <v>260</v>
      </c>
      <c r="C89" t="s">
        <v>261</v>
      </c>
      <c r="D89">
        <v>0.49</v>
      </c>
      <c r="F89" t="s">
        <v>78</v>
      </c>
    </row>
    <row r="90" spans="1:6" x14ac:dyDescent="0.25">
      <c r="A90" t="s">
        <v>262</v>
      </c>
      <c r="B90" s="1" t="s">
        <v>43</v>
      </c>
      <c r="C90" t="s">
        <v>173</v>
      </c>
      <c r="D90">
        <v>0.11</v>
      </c>
      <c r="F90" t="s">
        <v>78</v>
      </c>
    </row>
    <row r="91" spans="1:6" x14ac:dyDescent="0.25">
      <c r="A91" t="s">
        <v>176</v>
      </c>
      <c r="B91" s="1" t="s">
        <v>263</v>
      </c>
      <c r="C91" t="s">
        <v>264</v>
      </c>
      <c r="D91">
        <v>0.49</v>
      </c>
      <c r="F91" t="s">
        <v>78</v>
      </c>
    </row>
    <row r="92" spans="1:6" x14ac:dyDescent="0.25">
      <c r="A92" t="s">
        <v>265</v>
      </c>
      <c r="B92" s="1" t="s">
        <v>266</v>
      </c>
      <c r="C92" t="s">
        <v>163</v>
      </c>
      <c r="D92">
        <v>0.14000000000000001</v>
      </c>
      <c r="F92" t="s">
        <v>78</v>
      </c>
    </row>
    <row r="93" spans="1:6" x14ac:dyDescent="0.25">
      <c r="A93" t="s">
        <v>267</v>
      </c>
      <c r="B93" s="1" t="s">
        <v>268</v>
      </c>
      <c r="C93" t="s">
        <v>269</v>
      </c>
      <c r="D93">
        <v>0.43</v>
      </c>
      <c r="F93" t="s">
        <v>78</v>
      </c>
    </row>
    <row r="94" spans="1:6" x14ac:dyDescent="0.25">
      <c r="A94" t="s">
        <v>270</v>
      </c>
      <c r="B94" s="1" t="s">
        <v>271</v>
      </c>
      <c r="C94" t="s">
        <v>272</v>
      </c>
      <c r="D94">
        <v>0.5</v>
      </c>
      <c r="F94" t="s">
        <v>78</v>
      </c>
    </row>
    <row r="95" spans="1:6" x14ac:dyDescent="0.25">
      <c r="A95" t="s">
        <v>273</v>
      </c>
      <c r="B95" s="1" t="s">
        <v>274</v>
      </c>
      <c r="C95" t="s">
        <v>185</v>
      </c>
      <c r="D95">
        <v>0.48</v>
      </c>
      <c r="F95" t="s">
        <v>78</v>
      </c>
    </row>
    <row r="96" spans="1:6" x14ac:dyDescent="0.25">
      <c r="A96" t="s">
        <v>275</v>
      </c>
      <c r="B96" s="1" t="s">
        <v>276</v>
      </c>
      <c r="C96" t="s">
        <v>277</v>
      </c>
      <c r="D96">
        <v>0.48</v>
      </c>
      <c r="F96" t="s">
        <v>78</v>
      </c>
    </row>
    <row r="97" spans="1:6" x14ac:dyDescent="0.25">
      <c r="A97" t="s">
        <v>278</v>
      </c>
      <c r="B97" s="1" t="s">
        <v>227</v>
      </c>
      <c r="C97" t="s">
        <v>163</v>
      </c>
      <c r="D97">
        <v>0.47</v>
      </c>
      <c r="F97" t="s">
        <v>78</v>
      </c>
    </row>
    <row r="98" spans="1:6" x14ac:dyDescent="0.25">
      <c r="A98" t="s">
        <v>278</v>
      </c>
      <c r="B98" s="1" t="s">
        <v>227</v>
      </c>
      <c r="C98" t="s">
        <v>163</v>
      </c>
      <c r="D98">
        <v>0.47</v>
      </c>
      <c r="F98" t="s">
        <v>78</v>
      </c>
    </row>
    <row r="99" spans="1:6" x14ac:dyDescent="0.25">
      <c r="A99" t="s">
        <v>279</v>
      </c>
      <c r="B99" s="1" t="s">
        <v>153</v>
      </c>
      <c r="C99" t="s">
        <v>280</v>
      </c>
      <c r="D99">
        <v>0.5</v>
      </c>
      <c r="F99" t="s">
        <v>78</v>
      </c>
    </row>
    <row r="100" spans="1:6" x14ac:dyDescent="0.25">
      <c r="A100" t="s">
        <v>281</v>
      </c>
      <c r="B100" s="1" t="s">
        <v>282</v>
      </c>
      <c r="C100" t="s">
        <v>162</v>
      </c>
      <c r="D100">
        <v>0.08</v>
      </c>
      <c r="F100" t="s">
        <v>78</v>
      </c>
    </row>
    <row r="101" spans="1:6" x14ac:dyDescent="0.25">
      <c r="A101" t="s">
        <v>283</v>
      </c>
      <c r="B101" s="1" t="s">
        <v>284</v>
      </c>
      <c r="C101" t="s">
        <v>168</v>
      </c>
      <c r="D101">
        <v>0.02</v>
      </c>
      <c r="F101" t="s">
        <v>78</v>
      </c>
    </row>
    <row r="102" spans="1:6" x14ac:dyDescent="0.25">
      <c r="A102" t="s">
        <v>285</v>
      </c>
      <c r="B102" s="1" t="s">
        <v>286</v>
      </c>
      <c r="C102" t="s">
        <v>287</v>
      </c>
      <c r="D102">
        <v>0.49</v>
      </c>
      <c r="F102" t="s">
        <v>78</v>
      </c>
    </row>
    <row r="103" spans="1:6" x14ac:dyDescent="0.25">
      <c r="A103" t="s">
        <v>288</v>
      </c>
      <c r="B103" s="1" t="s">
        <v>289</v>
      </c>
      <c r="C103" t="s">
        <v>67</v>
      </c>
      <c r="D103">
        <v>0.04</v>
      </c>
      <c r="F103" t="s">
        <v>78</v>
      </c>
    </row>
    <row r="104" spans="1:6" x14ac:dyDescent="0.25">
      <c r="A104" t="s">
        <v>290</v>
      </c>
      <c r="B104" s="1" t="s">
        <v>291</v>
      </c>
      <c r="C104" t="s">
        <v>292</v>
      </c>
      <c r="D104">
        <v>0.49</v>
      </c>
      <c r="F104" t="s">
        <v>78</v>
      </c>
    </row>
    <row r="105" spans="1:6" x14ac:dyDescent="0.25">
      <c r="A105" t="s">
        <v>293</v>
      </c>
      <c r="B105" s="1" t="s">
        <v>294</v>
      </c>
      <c r="C105" t="s">
        <v>295</v>
      </c>
      <c r="D105">
        <v>0.42</v>
      </c>
      <c r="F105" t="s">
        <v>78</v>
      </c>
    </row>
    <row r="106" spans="1:6" x14ac:dyDescent="0.25">
      <c r="A106" t="s">
        <v>296</v>
      </c>
      <c r="B106" s="1" t="s">
        <v>297</v>
      </c>
      <c r="C106" t="s">
        <v>298</v>
      </c>
      <c r="D106">
        <v>0.21</v>
      </c>
      <c r="E106">
        <v>-1</v>
      </c>
      <c r="F106" t="s">
        <v>59</v>
      </c>
    </row>
    <row r="107" spans="1:6" x14ac:dyDescent="0.25">
      <c r="A107" t="s">
        <v>299</v>
      </c>
      <c r="B107" s="1" t="s">
        <v>300</v>
      </c>
      <c r="C107" t="s">
        <v>301</v>
      </c>
      <c r="D107">
        <v>0.41</v>
      </c>
      <c r="F107" t="s">
        <v>78</v>
      </c>
    </row>
    <row r="108" spans="1:6" x14ac:dyDescent="0.25">
      <c r="A108" t="s">
        <v>302</v>
      </c>
      <c r="B108" s="1" t="s">
        <v>303</v>
      </c>
      <c r="C108" t="s">
        <v>304</v>
      </c>
      <c r="D108">
        <v>0.01</v>
      </c>
      <c r="F108" t="s">
        <v>78</v>
      </c>
    </row>
    <row r="109" spans="1:6" x14ac:dyDescent="0.25">
      <c r="A109" t="s">
        <v>305</v>
      </c>
      <c r="B109" s="1" t="s">
        <v>306</v>
      </c>
      <c r="C109" t="s">
        <v>307</v>
      </c>
      <c r="D109">
        <v>0.24</v>
      </c>
      <c r="F109" t="s">
        <v>78</v>
      </c>
    </row>
    <row r="110" spans="1:6" x14ac:dyDescent="0.25">
      <c r="A110" t="s">
        <v>308</v>
      </c>
      <c r="B110" s="1" t="s">
        <v>309</v>
      </c>
      <c r="C110" t="s">
        <v>310</v>
      </c>
      <c r="D110">
        <v>0.34</v>
      </c>
      <c r="F110" t="s">
        <v>78</v>
      </c>
    </row>
    <row r="111" spans="1:6" x14ac:dyDescent="0.25">
      <c r="A111" t="s">
        <v>311</v>
      </c>
      <c r="B111" s="1" t="s">
        <v>147</v>
      </c>
      <c r="C111" t="s">
        <v>312</v>
      </c>
      <c r="D111">
        <v>0.34</v>
      </c>
      <c r="F111" t="s">
        <v>78</v>
      </c>
    </row>
    <row r="112" spans="1:6" x14ac:dyDescent="0.25">
      <c r="A112" t="s">
        <v>313</v>
      </c>
      <c r="B112" s="1" t="s">
        <v>314</v>
      </c>
      <c r="C112" t="s">
        <v>163</v>
      </c>
      <c r="D112">
        <v>0.02</v>
      </c>
      <c r="F112" t="s">
        <v>78</v>
      </c>
    </row>
    <row r="113" spans="1:6" x14ac:dyDescent="0.25">
      <c r="A113" t="s">
        <v>315</v>
      </c>
      <c r="B113" s="1" t="s">
        <v>316</v>
      </c>
      <c r="C113" t="s">
        <v>240</v>
      </c>
      <c r="D113">
        <v>0.02</v>
      </c>
      <c r="F113" t="s">
        <v>78</v>
      </c>
    </row>
    <row r="114" spans="1:6" x14ac:dyDescent="0.25">
      <c r="A114" t="s">
        <v>317</v>
      </c>
      <c r="B114" s="1" t="s">
        <v>156</v>
      </c>
      <c r="C114" t="s">
        <v>318</v>
      </c>
      <c r="D114">
        <v>0.64</v>
      </c>
      <c r="F114" t="s">
        <v>78</v>
      </c>
    </row>
    <row r="115" spans="1:6" x14ac:dyDescent="0.25">
      <c r="A115" t="s">
        <v>319</v>
      </c>
      <c r="B115" s="1" t="s">
        <v>243</v>
      </c>
      <c r="C115" t="s">
        <v>173</v>
      </c>
      <c r="D115">
        <v>0.5</v>
      </c>
      <c r="E115">
        <v>-1</v>
      </c>
      <c r="F115" t="s">
        <v>320</v>
      </c>
    </row>
    <row r="116" spans="1:6" x14ac:dyDescent="0.25">
      <c r="A116" t="s">
        <v>321</v>
      </c>
      <c r="B116" s="1" t="s">
        <v>322</v>
      </c>
      <c r="C116" t="s">
        <v>323</v>
      </c>
      <c r="D116">
        <v>0.47</v>
      </c>
      <c r="F116"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B21E-D384-46EC-B6A7-3F082E702ED5}">
  <dimension ref="A1:S113"/>
  <sheetViews>
    <sheetView topLeftCell="O1" workbookViewId="0">
      <pane ySplit="1" topLeftCell="A62" activePane="bottomLeft" state="frozen"/>
      <selection pane="bottomLeft" sqref="A1:XFD1048576"/>
    </sheetView>
  </sheetViews>
  <sheetFormatPr defaultRowHeight="15" x14ac:dyDescent="0.25"/>
  <cols>
    <col min="1" max="1" width="95" style="5" bestFit="1" customWidth="1"/>
    <col min="2" max="3" width="19.42578125" style="15" bestFit="1" customWidth="1"/>
    <col min="4" max="4" width="19.42578125" style="15" customWidth="1"/>
    <col min="5" max="5" width="19.42578125" style="4" customWidth="1"/>
    <col min="6" max="7" width="21.85546875" style="16" bestFit="1" customWidth="1"/>
    <col min="8" max="8" width="21.85546875" style="16" customWidth="1"/>
    <col min="9" max="9" width="17.7109375" style="16" bestFit="1" customWidth="1"/>
    <col min="10" max="10" width="11.42578125" customWidth="1"/>
    <col min="11" max="11" width="18.28515625" style="3" bestFit="1" customWidth="1"/>
    <col min="12" max="13" width="18.28515625" style="3" customWidth="1"/>
    <col min="14" max="14" width="23.7109375" style="3" bestFit="1" customWidth="1"/>
    <col min="15" max="15" width="23.7109375" style="3" customWidth="1"/>
    <col min="16" max="16" width="28.140625" style="3" bestFit="1" customWidth="1"/>
    <col min="17" max="17" width="33.7109375" style="3" bestFit="1" customWidth="1"/>
    <col min="18" max="18" width="33.7109375" style="3" customWidth="1"/>
    <col min="19" max="19" width="37.42578125" style="3" bestFit="1" customWidth="1"/>
  </cols>
  <sheetData>
    <row r="1" spans="1:19" x14ac:dyDescent="0.25">
      <c r="A1" s="19" t="s">
        <v>0</v>
      </c>
      <c r="B1" s="20" t="s">
        <v>324</v>
      </c>
      <c r="C1" s="20" t="s">
        <v>325</v>
      </c>
      <c r="D1" s="20" t="s">
        <v>335</v>
      </c>
      <c r="E1" s="21" t="s">
        <v>331</v>
      </c>
      <c r="F1" s="26" t="s">
        <v>332</v>
      </c>
      <c r="G1" s="22" t="s">
        <v>330</v>
      </c>
      <c r="H1" s="22" t="s">
        <v>334</v>
      </c>
      <c r="I1" s="22" t="s">
        <v>329</v>
      </c>
      <c r="J1" s="23" t="s">
        <v>4</v>
      </c>
      <c r="K1" s="24" t="s">
        <v>328</v>
      </c>
      <c r="L1" s="25" t="s">
        <v>333</v>
      </c>
      <c r="M1" s="25" t="s">
        <v>327</v>
      </c>
      <c r="N1" s="25" t="s">
        <v>326</v>
      </c>
      <c r="O1" s="25" t="s">
        <v>336</v>
      </c>
      <c r="P1" s="25" t="s">
        <v>337</v>
      </c>
      <c r="Q1" s="25" t="s">
        <v>338</v>
      </c>
      <c r="R1" s="25" t="s">
        <v>339</v>
      </c>
      <c r="S1" s="25" t="s">
        <v>340</v>
      </c>
    </row>
    <row r="2" spans="1:19" x14ac:dyDescent="0.25">
      <c r="A2" s="7" t="s">
        <v>126</v>
      </c>
      <c r="B2" s="13">
        <f>AVERAGE(1620,1980)</f>
        <v>1800</v>
      </c>
      <c r="C2" s="13">
        <f>AVERAGE(2200,3200)</f>
        <v>2700</v>
      </c>
      <c r="D2" s="13" t="str">
        <f>IF(tblProducts[[#This Row],[Current Price]]="","Missing",IF(tblProducts[[#This Row],[Current Price]]&lt;=Price_Q1,"Low Price",IF(tblProducts[[#This Row],[Current Price]]&lt;=Price_Q3,"Medium Price","High Price")))</f>
        <v>High Price</v>
      </c>
      <c r="E2" s="8">
        <f t="shared" ref="E2:E33" si="0">C2-B2</f>
        <v>900</v>
      </c>
      <c r="F2" s="17">
        <f t="shared" ref="F2:F33" si="1">((C2-B2)/C2)</f>
        <v>0.33333333333333331</v>
      </c>
      <c r="G2" s="17">
        <v>0.38</v>
      </c>
      <c r="H2" s="27" t="str">
        <f>IF(tblProducts[[#This Row],[Advertised Discount]]="","Missing",IF(tblProducts[[#This Row],[Advertised Discount]]&lt;20%,"Low Discount",IF(tblProducts[[#This Row],[Advertised Discount]]&lt;=40%,"Medium Discount","High Discount")))</f>
        <v>Medium Discount</v>
      </c>
      <c r="I2" s="17" t="str" cm="1">
        <f t="array" ref="I2">IF(OR(tblProducts[Advertised Discount]&lt;0%,tblProducts[Advertised Discount]&gt;100%),"Check rating","OK")</f>
        <v>OK</v>
      </c>
      <c r="J2" s="2">
        <v>2</v>
      </c>
      <c r="K2" s="9">
        <v>4.5</v>
      </c>
      <c r="L2" s="3" t="str">
        <f>IF(tblProducts[[#This Row],[Rating]]="","Missing",IF(tblProducts[[#This Row],[Rating]]&lt;3,"Poor",IF(tblProducts[[#This Row],[Rating]]&lt;=4.5,"Average","Excellent")))</f>
        <v>Average</v>
      </c>
      <c r="M2" s="3" t="str">
        <f>IF(OR(tblProducts[[#This Row],[Rating]]&lt;0,tblProducts[[#This Row],[Rating]]&gt;5),"Check rating","OK")</f>
        <v>OK</v>
      </c>
      <c r="N2" s="3" t="str">
        <f t="shared" ref="N2:N33" si="2">IF(AND(J2="",K2=""),"Missing rating and review",IF(J2="","Missing review",IF(K2="","Missing rating","Complete")))</f>
        <v>Complete</v>
      </c>
      <c r="O2" s="3" t="str">
        <f t="shared" ref="O2:O33" si="3">IF(J2=" ","Missing",IF(J2&gt;=Review_Q3,"Strong Engagement","Weak Engagement"))</f>
        <v>Weak Engagement</v>
      </c>
      <c r="P2" s="3" t="str">
        <f t="shared" ref="P2:P33" si="4">IF(OR(G2="",K2=""),"Missing",IF(AND(G2&gt;40%,K2&lt;3),"Yes","No"))</f>
        <v>No</v>
      </c>
      <c r="Q2" s="3" t="str">
        <f t="shared" ref="Q2:Q33" si="5">IF(OR(G2="",J2=""),"Missing",IF(AND(G2&gt;40%,J2&lt;Review_Q3),"Yes","No"))</f>
        <v>No</v>
      </c>
      <c r="R2" s="3" t="str">
        <f t="shared" ref="R2:R33" si="6">IF(OR(J2="",K2=""),"Missing",IF(AND(J2&gt;=Review_Q3,K2&gt;=3,K2&lt;=4.5),"Yes","No"))</f>
        <v>No</v>
      </c>
      <c r="S2" s="3" t="str">
        <f t="shared" ref="S2:S33" si="7">IF(OR(J2="",K2=""),"Missing",IF(AND(J2&gt;=Review_Q3,K2&gt;4.5),"Yes","No"))</f>
        <v>No</v>
      </c>
    </row>
    <row r="3" spans="1:19" x14ac:dyDescent="0.25">
      <c r="A3" s="7" t="s">
        <v>213</v>
      </c>
      <c r="B3" s="13">
        <v>3750</v>
      </c>
      <c r="C3" s="13">
        <v>6143</v>
      </c>
      <c r="D3" s="13" t="str">
        <f>IF(tblProducts[[#This Row],[Current Price]]="","Missing",IF(tblProducts[[#This Row],[Current Price]]&lt;=Price_Q1,"Low Price",IF(tblProducts[[#This Row],[Current Price]]&lt;=Price_Q3,"Medium Price","High Price")))</f>
        <v>High Price</v>
      </c>
      <c r="E3" s="8">
        <f t="shared" si="0"/>
        <v>2393</v>
      </c>
      <c r="F3" s="17">
        <f t="shared" si="1"/>
        <v>0.38954908025394758</v>
      </c>
      <c r="G3" s="17">
        <v>0.39</v>
      </c>
      <c r="H3" s="17" t="str">
        <f>IF(tblProducts[[#This Row],[Advertised Discount]]="","Missing",IF(tblProducts[[#This Row],[Advertised Discount]]&lt;20%,"Low Discount",IF(tblProducts[[#This Row],[Advertised Discount]]&lt;=40%,"Medium Discount","High Discount")))</f>
        <v>Medium Discount</v>
      </c>
      <c r="I3" s="17" t="str" cm="1">
        <f t="array" ref="I3">IF(OR(tblProducts[Advertised Discount]&lt;0%,tblProducts[Advertised Discount]&gt;100%),"Check rating","OK")</f>
        <v>OK</v>
      </c>
      <c r="J3" s="2">
        <v>5</v>
      </c>
      <c r="K3" s="9">
        <v>3</v>
      </c>
      <c r="L3" s="3" t="str">
        <f>IF(tblProducts[[#This Row],[Rating]]="","Missing",IF(tblProducts[[#This Row],[Rating]]&lt;3,"Poor",IF(tblProducts[[#This Row],[Rating]]&lt;=4.5,"Average","Excellent")))</f>
        <v>Average</v>
      </c>
      <c r="M3" s="3" t="str">
        <f>IF(OR(tblProducts[[#This Row],[Rating]]&lt;0,tblProducts[[#This Row],[Rating]]&gt;5),"Check rating","OK")</f>
        <v>OK</v>
      </c>
      <c r="N3" s="3" t="str">
        <f t="shared" si="2"/>
        <v>Complete</v>
      </c>
      <c r="O3" s="3" t="str">
        <f t="shared" si="3"/>
        <v>Weak Engagement</v>
      </c>
      <c r="P3" s="3" t="str">
        <f t="shared" si="4"/>
        <v>No</v>
      </c>
      <c r="Q3" s="3" t="str">
        <f t="shared" si="5"/>
        <v>No</v>
      </c>
      <c r="R3" s="3" t="str">
        <f t="shared" si="6"/>
        <v>No</v>
      </c>
      <c r="S3" s="3" t="str">
        <f t="shared" si="7"/>
        <v>No</v>
      </c>
    </row>
    <row r="4" spans="1:19" x14ac:dyDescent="0.25">
      <c r="A4" s="7" t="s">
        <v>296</v>
      </c>
      <c r="B4" s="13">
        <v>3640</v>
      </c>
      <c r="C4" s="13">
        <v>4588</v>
      </c>
      <c r="D4" s="13" t="str">
        <f>IF(tblProducts[[#This Row],[Current Price]]="","Missing",IF(tblProducts[[#This Row],[Current Price]]&lt;=Price_Q1,"Low Price",IF(tblProducts[[#This Row],[Current Price]]&lt;=Price_Q3,"Medium Price","High Price")))</f>
        <v>High Price</v>
      </c>
      <c r="E4" s="8">
        <f t="shared" si="0"/>
        <v>948</v>
      </c>
      <c r="F4" s="17">
        <f t="shared" si="1"/>
        <v>0.20662598081952921</v>
      </c>
      <c r="G4" s="17">
        <v>0.21</v>
      </c>
      <c r="H4" s="17" t="str">
        <f>IF(tblProducts[[#This Row],[Advertised Discount]]="","Missing",IF(tblProducts[[#This Row],[Advertised Discount]]&lt;20%,"Low Discount",IF(tblProducts[[#This Row],[Advertised Discount]]&lt;=40%,"Medium Discount","High Discount")))</f>
        <v>Medium Discount</v>
      </c>
      <c r="I4" s="17" t="str" cm="1">
        <f t="array" ref="I4">IF(OR(tblProducts[Advertised Discount]&lt;0%,tblProducts[Advertised Discount]&gt;100%),"Check rating","OK")</f>
        <v>OK</v>
      </c>
      <c r="J4" s="2">
        <v>1</v>
      </c>
      <c r="K4" s="9">
        <v>5</v>
      </c>
      <c r="L4" s="3" t="str">
        <f>IF(tblProducts[[#This Row],[Rating]]="","Missing",IF(tblProducts[[#This Row],[Rating]]&lt;3,"Poor",IF(tblProducts[[#This Row],[Rating]]&lt;=4.5,"Average","Excellent")))</f>
        <v>Excellent</v>
      </c>
      <c r="M4" s="3" t="str">
        <f>IF(OR(tblProducts[[#This Row],[Rating]]&lt;0,tblProducts[[#This Row],[Rating]]&gt;5),"Check rating","OK")</f>
        <v>OK</v>
      </c>
      <c r="N4" s="3" t="str">
        <f t="shared" si="2"/>
        <v>Complete</v>
      </c>
      <c r="O4" s="3" t="str">
        <f t="shared" si="3"/>
        <v>Weak Engagement</v>
      </c>
      <c r="P4" s="3" t="str">
        <f t="shared" si="4"/>
        <v>No</v>
      </c>
      <c r="Q4" s="3" t="str">
        <f t="shared" si="5"/>
        <v>No</v>
      </c>
      <c r="R4" s="3" t="str">
        <f t="shared" si="6"/>
        <v>No</v>
      </c>
      <c r="S4" s="3" t="str">
        <f t="shared" si="7"/>
        <v>No</v>
      </c>
    </row>
    <row r="5" spans="1:19" x14ac:dyDescent="0.25">
      <c r="A5" s="7" t="s">
        <v>288</v>
      </c>
      <c r="B5" s="13">
        <v>3546</v>
      </c>
      <c r="C5" s="13">
        <v>3699</v>
      </c>
      <c r="D5" s="13" t="str">
        <f>IF(tblProducts[[#This Row],[Current Price]]="","Missing",IF(tblProducts[[#This Row],[Current Price]]&lt;=Price_Q1,"Low Price",IF(tblProducts[[#This Row],[Current Price]]&lt;=Price_Q3,"Medium Price","High Price")))</f>
        <v>High Price</v>
      </c>
      <c r="E5" s="8">
        <f t="shared" si="0"/>
        <v>153</v>
      </c>
      <c r="F5" s="17">
        <f t="shared" si="1"/>
        <v>4.1362530413625302E-2</v>
      </c>
      <c r="G5" s="17">
        <v>0.04</v>
      </c>
      <c r="H5" s="17" t="str">
        <f>IF(tblProducts[[#This Row],[Advertised Discount]]="","Missing",IF(tblProducts[[#This Row],[Advertised Discount]]&lt;20%,"Low Discount",IF(tblProducts[[#This Row],[Advertised Discount]]&lt;=40%,"Medium Discount","High Discount")))</f>
        <v>Low Discount</v>
      </c>
      <c r="I5" s="17" t="str" cm="1">
        <f t="array" ref="I5">IF(OR(tblProducts[Advertised Discount]&lt;0%,tblProducts[Advertised Discount]&gt;100%),"Check rating","OK")</f>
        <v>OK</v>
      </c>
      <c r="J5" s="2"/>
      <c r="K5" s="9" t="s">
        <v>78</v>
      </c>
      <c r="L5" s="3" t="str">
        <f>IF(tblProducts[[#This Row],[Rating]]="","Missing",IF(tblProducts[[#This Row],[Rating]]&lt;3,"Poor",IF(tblProducts[[#This Row],[Rating]]&lt;=4.5,"Average","Excellent")))</f>
        <v>Missing</v>
      </c>
      <c r="M5" s="3" t="str">
        <f>IF(OR(tblProducts[[#This Row],[Rating]]&lt;0,tblProducts[[#This Row],[Rating]]&gt;5),"Check rating","OK")</f>
        <v>Check rating</v>
      </c>
      <c r="N5" s="3" t="str">
        <f t="shared" si="2"/>
        <v>Missing rating and review</v>
      </c>
      <c r="O5" s="3" t="str">
        <f t="shared" si="3"/>
        <v>Weak Engagement</v>
      </c>
      <c r="P5" s="3" t="str">
        <f t="shared" si="4"/>
        <v>Missing</v>
      </c>
      <c r="Q5" s="3" t="str">
        <f t="shared" si="5"/>
        <v>Missing</v>
      </c>
      <c r="R5" s="3" t="str">
        <f t="shared" si="6"/>
        <v>Missing</v>
      </c>
      <c r="S5" s="3" t="str">
        <f t="shared" si="7"/>
        <v>Missing</v>
      </c>
    </row>
    <row r="6" spans="1:19" x14ac:dyDescent="0.25">
      <c r="A6" s="7" t="s">
        <v>26</v>
      </c>
      <c r="B6" s="13">
        <v>2999</v>
      </c>
      <c r="C6" s="13">
        <v>3290</v>
      </c>
      <c r="D6" s="13" t="str">
        <f>IF(tblProducts[[#This Row],[Current Price]]="","Missing",IF(tblProducts[[#This Row],[Current Price]]&lt;=Price_Q1,"Low Price",IF(tblProducts[[#This Row],[Current Price]]&lt;=Price_Q3,"Medium Price","High Price")))</f>
        <v>High Price</v>
      </c>
      <c r="E6" s="8">
        <f t="shared" si="0"/>
        <v>291</v>
      </c>
      <c r="F6" s="17">
        <f t="shared" si="1"/>
        <v>8.8449848024316116E-2</v>
      </c>
      <c r="G6" s="17">
        <v>0.09</v>
      </c>
      <c r="H6" s="17" t="str">
        <f>IF(tblProducts[[#This Row],[Advertised Discount]]="","Missing",IF(tblProducts[[#This Row],[Advertised Discount]]&lt;20%,"Low Discount",IF(tblProducts[[#This Row],[Advertised Discount]]&lt;=40%,"Medium Discount","High Discount")))</f>
        <v>Low Discount</v>
      </c>
      <c r="I6" s="17" t="str" cm="1">
        <f t="array" ref="I6">IF(OR(tblProducts[Advertised Discount]&lt;0%,tblProducts[Advertised Discount]&gt;100%),"Check rating","OK")</f>
        <v>OK</v>
      </c>
      <c r="J6" s="2">
        <v>15</v>
      </c>
      <c r="K6" s="9">
        <v>4</v>
      </c>
      <c r="L6" s="3" t="str">
        <f>IF(tblProducts[[#This Row],[Rating]]="","Missing",IF(tblProducts[[#This Row],[Rating]]&lt;3,"Poor",IF(tblProducts[[#This Row],[Rating]]&lt;=4.5,"Average","Excellent")))</f>
        <v>Average</v>
      </c>
      <c r="M6" s="3" t="str">
        <f>IF(OR(tblProducts[[#This Row],[Rating]]&lt;0,tblProducts[[#This Row],[Rating]]&gt;5),"Check rating","OK")</f>
        <v>OK</v>
      </c>
      <c r="N6" s="3" t="str">
        <f t="shared" si="2"/>
        <v>Complete</v>
      </c>
      <c r="O6" s="3" t="str">
        <f t="shared" si="3"/>
        <v>Strong Engagement</v>
      </c>
      <c r="P6" s="3" t="str">
        <f t="shared" si="4"/>
        <v>No</v>
      </c>
      <c r="Q6" s="3" t="str">
        <f t="shared" si="5"/>
        <v>No</v>
      </c>
      <c r="R6" s="3" t="str">
        <f t="shared" si="6"/>
        <v>Yes</v>
      </c>
      <c r="S6" s="3" t="str">
        <f t="shared" si="7"/>
        <v>No</v>
      </c>
    </row>
    <row r="7" spans="1:19" x14ac:dyDescent="0.25">
      <c r="A7" s="7" t="s">
        <v>66</v>
      </c>
      <c r="B7" s="13">
        <v>2999</v>
      </c>
      <c r="C7" s="13">
        <v>3699</v>
      </c>
      <c r="D7" s="13" t="str">
        <f>IF(tblProducts[[#This Row],[Current Price]]="","Missing",IF(tblProducts[[#This Row],[Current Price]]&lt;=Price_Q1,"Low Price",IF(tblProducts[[#This Row],[Current Price]]&lt;=Price_Q3,"Medium Price","High Price")))</f>
        <v>High Price</v>
      </c>
      <c r="E7" s="8">
        <f t="shared" si="0"/>
        <v>700</v>
      </c>
      <c r="F7" s="17">
        <f t="shared" si="1"/>
        <v>0.18924033522573669</v>
      </c>
      <c r="G7" s="17">
        <v>0.19</v>
      </c>
      <c r="H7" s="17" t="str">
        <f>IF(tblProducts[[#This Row],[Advertised Discount]]="","Missing",IF(tblProducts[[#This Row],[Advertised Discount]]&lt;20%,"Low Discount",IF(tblProducts[[#This Row],[Advertised Discount]]&lt;=40%,"Medium Discount","High Discount")))</f>
        <v>Low Discount</v>
      </c>
      <c r="I7" s="17" t="str" cm="1">
        <f t="array" ref="I7">IF(OR(tblProducts[Advertised Discount]&lt;0%,tblProducts[Advertised Discount]&gt;100%),"Check rating","OK")</f>
        <v>OK</v>
      </c>
      <c r="J7" s="2">
        <v>5</v>
      </c>
      <c r="K7" s="9">
        <v>4.5999999999999996</v>
      </c>
      <c r="L7" s="3" t="str">
        <f>IF(tblProducts[[#This Row],[Rating]]="","Missing",IF(tblProducts[[#This Row],[Rating]]&lt;3,"Poor",IF(tblProducts[[#This Row],[Rating]]&lt;=4.5,"Average","Excellent")))</f>
        <v>Excellent</v>
      </c>
      <c r="M7" s="3" t="str">
        <f>IF(OR(tblProducts[[#This Row],[Rating]]&lt;0,tblProducts[[#This Row],[Rating]]&gt;5),"Check rating","OK")</f>
        <v>OK</v>
      </c>
      <c r="N7" s="3" t="str">
        <f t="shared" si="2"/>
        <v>Complete</v>
      </c>
      <c r="O7" s="3" t="str">
        <f t="shared" si="3"/>
        <v>Weak Engagement</v>
      </c>
      <c r="P7" s="3" t="str">
        <f t="shared" si="4"/>
        <v>No</v>
      </c>
      <c r="Q7" s="3" t="str">
        <f t="shared" si="5"/>
        <v>No</v>
      </c>
      <c r="R7" s="3" t="str">
        <f t="shared" si="6"/>
        <v>No</v>
      </c>
      <c r="S7" s="3" t="str">
        <f t="shared" si="7"/>
        <v>No</v>
      </c>
    </row>
    <row r="8" spans="1:19" x14ac:dyDescent="0.25">
      <c r="A8" s="7" t="s">
        <v>93</v>
      </c>
      <c r="B8" s="13">
        <v>2880</v>
      </c>
      <c r="C8" s="13">
        <v>3520</v>
      </c>
      <c r="D8" s="13" t="str">
        <f>IF(tblProducts[[#This Row],[Current Price]]="","Missing",IF(tblProducts[[#This Row],[Current Price]]&lt;=Price_Q1,"Low Price",IF(tblProducts[[#This Row],[Current Price]]&lt;=Price_Q3,"Medium Price","High Price")))</f>
        <v>High Price</v>
      </c>
      <c r="E8" s="8">
        <f t="shared" si="0"/>
        <v>640</v>
      </c>
      <c r="F8" s="17">
        <f t="shared" si="1"/>
        <v>0.18181818181818182</v>
      </c>
      <c r="G8" s="17">
        <v>0.18</v>
      </c>
      <c r="H8" s="17" t="str">
        <f>IF(tblProducts[[#This Row],[Advertised Discount]]="","Missing",IF(tblProducts[[#This Row],[Advertised Discount]]&lt;20%,"Low Discount",IF(tblProducts[[#This Row],[Advertised Discount]]&lt;=40%,"Medium Discount","High Discount")))</f>
        <v>Low Discount</v>
      </c>
      <c r="I8" s="17" t="str" cm="1">
        <f t="array" ref="I8">IF(OR(tblProducts[Advertised Discount]&lt;0%,tblProducts[Advertised Discount]&gt;100%),"Check rating","OK")</f>
        <v>OK</v>
      </c>
      <c r="J8" s="2">
        <v>12</v>
      </c>
      <c r="K8" s="9">
        <v>3.8</v>
      </c>
      <c r="L8" s="3" t="str">
        <f>IF(tblProducts[[#This Row],[Rating]]="","Missing",IF(tblProducts[[#This Row],[Rating]]&lt;3,"Poor",IF(tblProducts[[#This Row],[Rating]]&lt;=4.5,"Average","Excellent")))</f>
        <v>Average</v>
      </c>
      <c r="M8" s="3" t="str">
        <f>IF(OR(tblProducts[[#This Row],[Rating]]&lt;0,tblProducts[[#This Row],[Rating]]&gt;5),"Check rating","OK")</f>
        <v>OK</v>
      </c>
      <c r="N8" s="3" t="str">
        <f t="shared" si="2"/>
        <v>Complete</v>
      </c>
      <c r="O8" s="3" t="str">
        <f t="shared" si="3"/>
        <v>Weak Engagement</v>
      </c>
      <c r="P8" s="3" t="str">
        <f t="shared" si="4"/>
        <v>No</v>
      </c>
      <c r="Q8" s="3" t="str">
        <f t="shared" si="5"/>
        <v>No</v>
      </c>
      <c r="R8" s="3" t="str">
        <f t="shared" si="6"/>
        <v>No</v>
      </c>
      <c r="S8" s="3" t="str">
        <f t="shared" si="7"/>
        <v>No</v>
      </c>
    </row>
    <row r="9" spans="1:19" x14ac:dyDescent="0.25">
      <c r="A9" s="7" t="s">
        <v>178</v>
      </c>
      <c r="B9" s="13">
        <v>2799</v>
      </c>
      <c r="C9" s="13">
        <v>3810</v>
      </c>
      <c r="D9" s="13" t="str">
        <f>IF(tblProducts[[#This Row],[Current Price]]="","Missing",IF(tblProducts[[#This Row],[Current Price]]&lt;=Price_Q1,"Low Price",IF(tblProducts[[#This Row],[Current Price]]&lt;=Price_Q3,"Medium Price","High Price")))</f>
        <v>High Price</v>
      </c>
      <c r="E9" s="8">
        <f t="shared" si="0"/>
        <v>1011</v>
      </c>
      <c r="F9" s="17">
        <f t="shared" si="1"/>
        <v>0.26535433070866143</v>
      </c>
      <c r="G9" s="17">
        <v>0.27</v>
      </c>
      <c r="H9" s="17" t="str">
        <f>IF(tblProducts[[#This Row],[Advertised Discount]]="","Missing",IF(tblProducts[[#This Row],[Advertised Discount]]&lt;20%,"Low Discount",IF(tblProducts[[#This Row],[Advertised Discount]]&lt;=40%,"Medium Discount","High Discount")))</f>
        <v>Medium Discount</v>
      </c>
      <c r="I9" s="17" t="str" cm="1">
        <f t="array" ref="I9">IF(OR(tblProducts[Advertised Discount]&lt;0%,tblProducts[Advertised Discount]&gt;100%),"Check rating","OK")</f>
        <v>OK</v>
      </c>
      <c r="J9" s="2"/>
      <c r="K9" s="9" t="s">
        <v>78</v>
      </c>
      <c r="L9" s="3" t="str">
        <f>IF(tblProducts[[#This Row],[Rating]]="","Missing",IF(tblProducts[[#This Row],[Rating]]&lt;3,"Poor",IF(tblProducts[[#This Row],[Rating]]&lt;=4.5,"Average","Excellent")))</f>
        <v>Missing</v>
      </c>
      <c r="M9" s="3" t="str">
        <f>IF(OR(tblProducts[[#This Row],[Rating]]&lt;0,tblProducts[[#This Row],[Rating]]&gt;5),"Check rating","OK")</f>
        <v>Check rating</v>
      </c>
      <c r="N9" s="3" t="str">
        <f t="shared" si="2"/>
        <v>Missing rating and review</v>
      </c>
      <c r="O9" s="3" t="str">
        <f t="shared" si="3"/>
        <v>Weak Engagement</v>
      </c>
      <c r="P9" s="3" t="str">
        <f t="shared" si="4"/>
        <v>Missing</v>
      </c>
      <c r="Q9" s="3" t="str">
        <f t="shared" si="5"/>
        <v>Missing</v>
      </c>
      <c r="R9" s="3" t="str">
        <f t="shared" si="6"/>
        <v>Missing</v>
      </c>
      <c r="S9" s="3" t="str">
        <f t="shared" si="7"/>
        <v>Missing</v>
      </c>
    </row>
    <row r="10" spans="1:19" x14ac:dyDescent="0.25">
      <c r="A10" s="7" t="s">
        <v>129</v>
      </c>
      <c r="B10" s="13">
        <v>2750</v>
      </c>
      <c r="C10" s="13">
        <v>4471</v>
      </c>
      <c r="D10" s="13" t="str">
        <f>IF(tblProducts[[#This Row],[Current Price]]="","Missing",IF(tblProducts[[#This Row],[Current Price]]&lt;=Price_Q1,"Low Price",IF(tblProducts[[#This Row],[Current Price]]&lt;=Price_Q3,"Medium Price","High Price")))</f>
        <v>High Price</v>
      </c>
      <c r="E10" s="8">
        <f t="shared" si="0"/>
        <v>1721</v>
      </c>
      <c r="F10" s="17">
        <f t="shared" si="1"/>
        <v>0.38492507269067322</v>
      </c>
      <c r="G10" s="17">
        <v>0.38</v>
      </c>
      <c r="H10" s="17" t="str">
        <f>IF(tblProducts[[#This Row],[Advertised Discount]]="","Missing",IF(tblProducts[[#This Row],[Advertised Discount]]&lt;20%,"Low Discount",IF(tblProducts[[#This Row],[Advertised Discount]]&lt;=40%,"Medium Discount","High Discount")))</f>
        <v>Medium Discount</v>
      </c>
      <c r="I10" s="17" t="str" cm="1">
        <f t="array" ref="I10">IF(OR(tblProducts[Advertised Discount]&lt;0%,tblProducts[Advertised Discount]&gt;100%),"Check rating","OK")</f>
        <v>OK</v>
      </c>
      <c r="J10" s="2"/>
      <c r="K10" s="9" t="s">
        <v>78</v>
      </c>
      <c r="L10" s="3" t="str">
        <f>IF(tblProducts[[#This Row],[Rating]]="","Missing",IF(tblProducts[[#This Row],[Rating]]&lt;3,"Poor",IF(tblProducts[[#This Row],[Rating]]&lt;=4.5,"Average","Excellent")))</f>
        <v>Missing</v>
      </c>
      <c r="M10" s="3" t="str">
        <f>IF(OR(tblProducts[[#This Row],[Rating]]&lt;0,tblProducts[[#This Row],[Rating]]&gt;5),"Check rating","OK")</f>
        <v>Check rating</v>
      </c>
      <c r="N10" s="3" t="str">
        <f t="shared" si="2"/>
        <v>Missing rating and review</v>
      </c>
      <c r="O10" s="3" t="str">
        <f t="shared" si="3"/>
        <v>Weak Engagement</v>
      </c>
      <c r="P10" s="3" t="str">
        <f t="shared" si="4"/>
        <v>Missing</v>
      </c>
      <c r="Q10" s="3" t="str">
        <f t="shared" si="5"/>
        <v>Missing</v>
      </c>
      <c r="R10" s="3" t="str">
        <f t="shared" si="6"/>
        <v>Missing</v>
      </c>
      <c r="S10" s="3" t="str">
        <f t="shared" si="7"/>
        <v>Missing</v>
      </c>
    </row>
    <row r="11" spans="1:19" x14ac:dyDescent="0.25">
      <c r="A11" s="7" t="s">
        <v>30</v>
      </c>
      <c r="B11" s="13">
        <v>2319</v>
      </c>
      <c r="C11" s="13">
        <v>3032</v>
      </c>
      <c r="D11" s="13" t="str">
        <f>IF(tblProducts[[#This Row],[Current Price]]="","Missing",IF(tblProducts[[#This Row],[Current Price]]&lt;=Price_Q1,"Low Price",IF(tblProducts[[#This Row],[Current Price]]&lt;=Price_Q3,"Medium Price","High Price")))</f>
        <v>High Price</v>
      </c>
      <c r="E11" s="8">
        <f t="shared" si="0"/>
        <v>713</v>
      </c>
      <c r="F11" s="17">
        <f t="shared" si="1"/>
        <v>0.23515831134564644</v>
      </c>
      <c r="G11" s="17">
        <v>0.24</v>
      </c>
      <c r="H11" s="17" t="str">
        <f>IF(tblProducts[[#This Row],[Advertised Discount]]="","Missing",IF(tblProducts[[#This Row],[Advertised Discount]]&lt;20%,"Low Discount",IF(tblProducts[[#This Row],[Advertised Discount]]&lt;=40%,"Medium Discount","High Discount")))</f>
        <v>Medium Discount</v>
      </c>
      <c r="I11" s="17" t="str" cm="1">
        <f t="array" ref="I11">IF(OR(tblProducts[Advertised Discount]&lt;0%,tblProducts[Advertised Discount]&gt;100%),"Check rating","OK")</f>
        <v>OK</v>
      </c>
      <c r="J11" s="2">
        <v>55</v>
      </c>
      <c r="K11" s="9">
        <v>4.5999999999999996</v>
      </c>
      <c r="L11" s="3" t="str">
        <f>IF(tblProducts[[#This Row],[Rating]]="","Missing",IF(tblProducts[[#This Row],[Rating]]&lt;3,"Poor",IF(tblProducts[[#This Row],[Rating]]&lt;=4.5,"Average","Excellent")))</f>
        <v>Excellent</v>
      </c>
      <c r="M11" s="3" t="str">
        <f>IF(OR(tblProducts[[#This Row],[Rating]]&lt;0,tblProducts[[#This Row],[Rating]]&gt;5),"Check rating","OK")</f>
        <v>OK</v>
      </c>
      <c r="N11" s="3" t="str">
        <f t="shared" si="2"/>
        <v>Complete</v>
      </c>
      <c r="O11" s="3" t="str">
        <f t="shared" si="3"/>
        <v>Strong Engagement</v>
      </c>
      <c r="P11" s="3" t="str">
        <f t="shared" si="4"/>
        <v>No</v>
      </c>
      <c r="Q11" s="3" t="str">
        <f t="shared" si="5"/>
        <v>No</v>
      </c>
      <c r="R11" s="3" t="str">
        <f t="shared" si="6"/>
        <v>No</v>
      </c>
      <c r="S11" s="3" t="str">
        <f t="shared" si="7"/>
        <v>Yes</v>
      </c>
    </row>
    <row r="12" spans="1:19" x14ac:dyDescent="0.25">
      <c r="A12" s="7" t="s">
        <v>219</v>
      </c>
      <c r="B12" s="13">
        <v>2300</v>
      </c>
      <c r="C12" s="13">
        <v>3240</v>
      </c>
      <c r="D12" s="13" t="str">
        <f>IF(tblProducts[[#This Row],[Current Price]]="","Missing",IF(tblProducts[[#This Row],[Current Price]]&lt;=Price_Q1,"Low Price",IF(tblProducts[[#This Row],[Current Price]]&lt;=Price_Q3,"Medium Price","High Price")))</f>
        <v>High Price</v>
      </c>
      <c r="E12" s="8">
        <f t="shared" si="0"/>
        <v>940</v>
      </c>
      <c r="F12" s="17">
        <f t="shared" si="1"/>
        <v>0.29012345679012347</v>
      </c>
      <c r="G12" s="17">
        <v>0.28999999999999998</v>
      </c>
      <c r="H12" s="17" t="str">
        <f>IF(tblProducts[[#This Row],[Advertised Discount]]="","Missing",IF(tblProducts[[#This Row],[Advertised Discount]]&lt;20%,"Low Discount",IF(tblProducts[[#This Row],[Advertised Discount]]&lt;=40%,"Medium Discount","High Discount")))</f>
        <v>Medium Discount</v>
      </c>
      <c r="I12" s="17" t="str" cm="1">
        <f t="array" ref="I12">IF(OR(tblProducts[Advertised Discount]&lt;0%,tblProducts[Advertised Discount]&gt;100%),"Check rating","OK")</f>
        <v>OK</v>
      </c>
      <c r="J12" s="2">
        <v>5</v>
      </c>
      <c r="K12" s="9">
        <v>3</v>
      </c>
      <c r="L12" s="3" t="str">
        <f>IF(tblProducts[[#This Row],[Rating]]="","Missing",IF(tblProducts[[#This Row],[Rating]]&lt;3,"Poor",IF(tblProducts[[#This Row],[Rating]]&lt;=4.5,"Average","Excellent")))</f>
        <v>Average</v>
      </c>
      <c r="M12" s="3" t="str">
        <f>IF(OR(tblProducts[[#This Row],[Rating]]&lt;0,tblProducts[[#This Row],[Rating]]&gt;5),"Check rating","OK")</f>
        <v>OK</v>
      </c>
      <c r="N12" s="3" t="str">
        <f t="shared" si="2"/>
        <v>Complete</v>
      </c>
      <c r="O12" s="3" t="str">
        <f t="shared" si="3"/>
        <v>Weak Engagement</v>
      </c>
      <c r="P12" s="3" t="str">
        <f t="shared" si="4"/>
        <v>No</v>
      </c>
      <c r="Q12" s="3" t="str">
        <f t="shared" si="5"/>
        <v>No</v>
      </c>
      <c r="R12" s="3" t="str">
        <f t="shared" si="6"/>
        <v>No</v>
      </c>
      <c r="S12" s="3" t="str">
        <f t="shared" si="7"/>
        <v>No</v>
      </c>
    </row>
    <row r="13" spans="1:19" x14ac:dyDescent="0.25">
      <c r="A13" s="7" t="s">
        <v>100</v>
      </c>
      <c r="B13" s="13">
        <v>2200</v>
      </c>
      <c r="C13" s="13">
        <v>4080</v>
      </c>
      <c r="D13" s="13" t="str">
        <f>IF(tblProducts[[#This Row],[Current Price]]="","Missing",IF(tblProducts[[#This Row],[Current Price]]&lt;=Price_Q1,"Low Price",IF(tblProducts[[#This Row],[Current Price]]&lt;=Price_Q3,"Medium Price","High Price")))</f>
        <v>High Price</v>
      </c>
      <c r="E13" s="8">
        <f t="shared" si="0"/>
        <v>1880</v>
      </c>
      <c r="F13" s="17">
        <f t="shared" si="1"/>
        <v>0.46078431372549017</v>
      </c>
      <c r="G13" s="17">
        <v>0.46</v>
      </c>
      <c r="H13" s="17" t="str">
        <f>IF(tblProducts[[#This Row],[Advertised Discount]]="","Missing",IF(tblProducts[[#This Row],[Advertised Discount]]&lt;20%,"Low Discount",IF(tblProducts[[#This Row],[Advertised Discount]]&lt;=40%,"Medium Discount","High Discount")))</f>
        <v>High Discount</v>
      </c>
      <c r="I13" s="17" t="str" cm="1">
        <f t="array" ref="I13">IF(OR(tblProducts[Advertised Discount]&lt;0%,tblProducts[Advertised Discount]&gt;100%),"Check rating","OK")</f>
        <v>OK</v>
      </c>
      <c r="J13" s="2"/>
      <c r="K13" s="9" t="s">
        <v>78</v>
      </c>
      <c r="L13" s="3" t="str">
        <f>IF(tblProducts[[#This Row],[Rating]]="","Missing",IF(tblProducts[[#This Row],[Rating]]&lt;3,"Poor",IF(tblProducts[[#This Row],[Rating]]&lt;=4.5,"Average","Excellent")))</f>
        <v>Missing</v>
      </c>
      <c r="M13" s="3" t="str">
        <f>IF(OR(tblProducts[[#This Row],[Rating]]&lt;0,tblProducts[[#This Row],[Rating]]&gt;5),"Check rating","OK")</f>
        <v>Check rating</v>
      </c>
      <c r="N13" s="3" t="str">
        <f t="shared" si="2"/>
        <v>Missing rating and review</v>
      </c>
      <c r="O13" s="3" t="str">
        <f t="shared" si="3"/>
        <v>Weak Engagement</v>
      </c>
      <c r="P13" s="3" t="str">
        <f t="shared" si="4"/>
        <v>Missing</v>
      </c>
      <c r="Q13" s="3" t="str">
        <f t="shared" si="5"/>
        <v>Missing</v>
      </c>
      <c r="R13" s="3" t="str">
        <f t="shared" si="6"/>
        <v>Missing</v>
      </c>
      <c r="S13" s="3" t="str">
        <f t="shared" si="7"/>
        <v>Missing</v>
      </c>
    </row>
    <row r="14" spans="1:19" x14ac:dyDescent="0.25">
      <c r="A14" s="7" t="s">
        <v>14</v>
      </c>
      <c r="B14" s="13">
        <v>2199</v>
      </c>
      <c r="C14" s="13">
        <v>2923</v>
      </c>
      <c r="D14" s="13" t="str">
        <f>IF(tblProducts[[#This Row],[Current Price]]="","Missing",IF(tblProducts[[#This Row],[Current Price]]&lt;=Price_Q1,"Low Price",IF(tblProducts[[#This Row],[Current Price]]&lt;=Price_Q3,"Medium Price","High Price")))</f>
        <v>High Price</v>
      </c>
      <c r="E14" s="8">
        <f t="shared" si="0"/>
        <v>724</v>
      </c>
      <c r="F14" s="17">
        <f t="shared" si="1"/>
        <v>0.24769072870338693</v>
      </c>
      <c r="G14" s="17">
        <v>0.25</v>
      </c>
      <c r="H14" s="17" t="str">
        <f>IF(tblProducts[[#This Row],[Advertised Discount]]="","Missing",IF(tblProducts[[#This Row],[Advertised Discount]]&lt;20%,"Low Discount",IF(tblProducts[[#This Row],[Advertised Discount]]&lt;=40%,"Medium Discount","High Discount")))</f>
        <v>Medium Discount</v>
      </c>
      <c r="I14" s="17" t="str" cm="1">
        <f t="array" ref="I14">IF(OR(tblProducts[Advertised Discount]&lt;0%,tblProducts[Advertised Discount]&gt;100%),"Check rating","OK")</f>
        <v>OK</v>
      </c>
      <c r="J14" s="2">
        <v>24</v>
      </c>
      <c r="K14" s="9">
        <v>4.5999999999999996</v>
      </c>
      <c r="L14" s="3" t="str">
        <f>IF(tblProducts[[#This Row],[Rating]]="","Missing",IF(tblProducts[[#This Row],[Rating]]&lt;3,"Poor",IF(tblProducts[[#This Row],[Rating]]&lt;=4.5,"Average","Excellent")))</f>
        <v>Excellent</v>
      </c>
      <c r="M14" s="3" t="str">
        <f>IF(OR(tblProducts[[#This Row],[Rating]]&lt;0,tblProducts[[#This Row],[Rating]]&gt;5),"Check rating","OK")</f>
        <v>OK</v>
      </c>
      <c r="N14" s="3" t="str">
        <f t="shared" si="2"/>
        <v>Complete</v>
      </c>
      <c r="O14" s="3" t="str">
        <f t="shared" si="3"/>
        <v>Strong Engagement</v>
      </c>
      <c r="P14" s="3" t="str">
        <f t="shared" si="4"/>
        <v>No</v>
      </c>
      <c r="Q14" s="3" t="str">
        <f t="shared" si="5"/>
        <v>No</v>
      </c>
      <c r="R14" s="3" t="str">
        <f t="shared" si="6"/>
        <v>No</v>
      </c>
      <c r="S14" s="3" t="str">
        <f t="shared" si="7"/>
        <v>Yes</v>
      </c>
    </row>
    <row r="15" spans="1:19" x14ac:dyDescent="0.25">
      <c r="A15" s="7" t="s">
        <v>183</v>
      </c>
      <c r="B15" s="13">
        <v>2170</v>
      </c>
      <c r="C15" s="13">
        <v>2500</v>
      </c>
      <c r="D15" s="13" t="str">
        <f>IF(tblProducts[[#This Row],[Current Price]]="","Missing",IF(tblProducts[[#This Row],[Current Price]]&lt;=Price_Q1,"Low Price",IF(tblProducts[[#This Row],[Current Price]]&lt;=Price_Q3,"Medium Price","High Price")))</f>
        <v>High Price</v>
      </c>
      <c r="E15" s="8">
        <f t="shared" si="0"/>
        <v>330</v>
      </c>
      <c r="F15" s="17">
        <f t="shared" si="1"/>
        <v>0.13200000000000001</v>
      </c>
      <c r="G15" s="17">
        <v>0.13</v>
      </c>
      <c r="H15" s="17" t="str">
        <f>IF(tblProducts[[#This Row],[Advertised Discount]]="","Missing",IF(tblProducts[[#This Row],[Advertised Discount]]&lt;20%,"Low Discount",IF(tblProducts[[#This Row],[Advertised Discount]]&lt;=40%,"Medium Discount","High Discount")))</f>
        <v>Low Discount</v>
      </c>
      <c r="I15" s="17" t="str" cm="1">
        <f t="array" ref="I15">IF(OR(tblProducts[Advertised Discount]&lt;0%,tblProducts[Advertised Discount]&gt;100%),"Check rating","OK")</f>
        <v>OK</v>
      </c>
      <c r="J15" s="2">
        <v>6</v>
      </c>
      <c r="K15" s="9">
        <v>2.5</v>
      </c>
      <c r="L15" s="3" t="str">
        <f>IF(tblProducts[[#This Row],[Rating]]="","Missing",IF(tblProducts[[#This Row],[Rating]]&lt;3,"Poor",IF(tblProducts[[#This Row],[Rating]]&lt;=4.5,"Average","Excellent")))</f>
        <v>Poor</v>
      </c>
      <c r="M15" s="3" t="str">
        <f>IF(OR(tblProducts[[#This Row],[Rating]]&lt;0,tblProducts[[#This Row],[Rating]]&gt;5),"Check rating","OK")</f>
        <v>OK</v>
      </c>
      <c r="N15" s="3" t="str">
        <f t="shared" si="2"/>
        <v>Complete</v>
      </c>
      <c r="O15" s="3" t="str">
        <f t="shared" si="3"/>
        <v>Weak Engagement</v>
      </c>
      <c r="P15" s="3" t="str">
        <f t="shared" si="4"/>
        <v>No</v>
      </c>
      <c r="Q15" s="3" t="str">
        <f t="shared" si="5"/>
        <v>No</v>
      </c>
      <c r="R15" s="3" t="str">
        <f t="shared" si="6"/>
        <v>No</v>
      </c>
      <c r="S15" s="3" t="str">
        <f t="shared" si="7"/>
        <v>No</v>
      </c>
    </row>
    <row r="16" spans="1:19" x14ac:dyDescent="0.25">
      <c r="A16" s="7" t="s">
        <v>141</v>
      </c>
      <c r="B16" s="13">
        <v>2132</v>
      </c>
      <c r="C16" s="13">
        <v>2169</v>
      </c>
      <c r="D16" s="13" t="str">
        <f>IF(tblProducts[[#This Row],[Current Price]]="","Missing",IF(tblProducts[[#This Row],[Current Price]]&lt;=Price_Q1,"Low Price",IF(tblProducts[[#This Row],[Current Price]]&lt;=Price_Q3,"Medium Price","High Price")))</f>
        <v>High Price</v>
      </c>
      <c r="E16" s="8">
        <f t="shared" si="0"/>
        <v>37</v>
      </c>
      <c r="F16" s="17">
        <f t="shared" si="1"/>
        <v>1.705855232826187E-2</v>
      </c>
      <c r="G16" s="17">
        <v>0.02</v>
      </c>
      <c r="H16" s="17" t="str">
        <f>IF(tblProducts[[#This Row],[Advertised Discount]]="","Missing",IF(tblProducts[[#This Row],[Advertised Discount]]&lt;20%,"Low Discount",IF(tblProducts[[#This Row],[Advertised Discount]]&lt;=40%,"Medium Discount","High Discount")))</f>
        <v>Low Discount</v>
      </c>
      <c r="I16" s="17" t="str" cm="1">
        <f t="array" ref="I16">IF(OR(tblProducts[Advertised Discount]&lt;0%,tblProducts[Advertised Discount]&gt;100%),"Check rating","OK")</f>
        <v>OK</v>
      </c>
      <c r="J16" s="2"/>
      <c r="K16" s="9" t="s">
        <v>78</v>
      </c>
      <c r="L16" s="3" t="str">
        <f>IF(tblProducts[[#This Row],[Rating]]="","Missing",IF(tblProducts[[#This Row],[Rating]]&lt;3,"Poor",IF(tblProducts[[#This Row],[Rating]]&lt;=4.5,"Average","Excellent")))</f>
        <v>Missing</v>
      </c>
      <c r="M16" s="3" t="str">
        <f>IF(OR(tblProducts[[#This Row],[Rating]]&lt;0,tblProducts[[#This Row],[Rating]]&gt;5),"Check rating","OK")</f>
        <v>Check rating</v>
      </c>
      <c r="N16" s="3" t="str">
        <f t="shared" si="2"/>
        <v>Missing rating and review</v>
      </c>
      <c r="O16" s="3" t="str">
        <f t="shared" si="3"/>
        <v>Weak Engagement</v>
      </c>
      <c r="P16" s="3" t="str">
        <f t="shared" si="4"/>
        <v>Missing</v>
      </c>
      <c r="Q16" s="3" t="str">
        <f t="shared" si="5"/>
        <v>Missing</v>
      </c>
      <c r="R16" s="3" t="str">
        <f t="shared" si="6"/>
        <v>Missing</v>
      </c>
      <c r="S16" s="3" t="str">
        <f t="shared" si="7"/>
        <v>Missing</v>
      </c>
    </row>
    <row r="17" spans="1:19" x14ac:dyDescent="0.25">
      <c r="A17" s="7" t="s">
        <v>191</v>
      </c>
      <c r="B17" s="13">
        <v>2115</v>
      </c>
      <c r="C17" s="13">
        <v>4700</v>
      </c>
      <c r="D17" s="13" t="str">
        <f>IF(tblProducts[[#This Row],[Current Price]]="","Missing",IF(tblProducts[[#This Row],[Current Price]]&lt;=Price_Q1,"Low Price",IF(tblProducts[[#This Row],[Current Price]]&lt;=Price_Q3,"Medium Price","High Price")))</f>
        <v>High Price</v>
      </c>
      <c r="E17" s="8">
        <f t="shared" si="0"/>
        <v>2585</v>
      </c>
      <c r="F17" s="17">
        <f t="shared" si="1"/>
        <v>0.55000000000000004</v>
      </c>
      <c r="G17" s="17">
        <v>0.55000000000000004</v>
      </c>
      <c r="H17" s="17" t="str">
        <f>IF(tblProducts[[#This Row],[Advertised Discount]]="","Missing",IF(tblProducts[[#This Row],[Advertised Discount]]&lt;20%,"Low Discount",IF(tblProducts[[#This Row],[Advertised Discount]]&lt;=40%,"Medium Discount","High Discount")))</f>
        <v>High Discount</v>
      </c>
      <c r="I17" s="17" t="str" cm="1">
        <f t="array" ref="I17">IF(OR(tblProducts[Advertised Discount]&lt;0%,tblProducts[Advertised Discount]&gt;100%),"Check rating","OK")</f>
        <v>OK</v>
      </c>
      <c r="J17" s="2">
        <v>13</v>
      </c>
      <c r="K17" s="9">
        <v>2.1</v>
      </c>
      <c r="L17" s="3" t="str">
        <f>IF(tblProducts[[#This Row],[Rating]]="","Missing",IF(tblProducts[[#This Row],[Rating]]&lt;3,"Poor",IF(tblProducts[[#This Row],[Rating]]&lt;=4.5,"Average","Excellent")))</f>
        <v>Poor</v>
      </c>
      <c r="M17" s="3" t="str">
        <f>IF(OR(tblProducts[[#This Row],[Rating]]&lt;0,tblProducts[[#This Row],[Rating]]&gt;5),"Check rating","OK")</f>
        <v>OK</v>
      </c>
      <c r="N17" s="3" t="str">
        <f t="shared" si="2"/>
        <v>Complete</v>
      </c>
      <c r="O17" s="3" t="str">
        <f t="shared" si="3"/>
        <v>Strong Engagement</v>
      </c>
      <c r="P17" s="3" t="str">
        <f t="shared" si="4"/>
        <v>Yes</v>
      </c>
      <c r="Q17" s="3" t="str">
        <f t="shared" si="5"/>
        <v>No</v>
      </c>
      <c r="R17" s="3" t="str">
        <f t="shared" si="6"/>
        <v>No</v>
      </c>
      <c r="S17" s="3" t="str">
        <f t="shared" si="7"/>
        <v>No</v>
      </c>
    </row>
    <row r="18" spans="1:19" x14ac:dyDescent="0.25">
      <c r="A18" s="7" t="s">
        <v>86</v>
      </c>
      <c r="B18" s="13">
        <v>2048</v>
      </c>
      <c r="C18" s="13">
        <v>4500</v>
      </c>
      <c r="D18" s="13" t="str">
        <f>IF(tblProducts[[#This Row],[Current Price]]="","Missing",IF(tblProducts[[#This Row],[Current Price]]&lt;=Price_Q1,"Low Price",IF(tblProducts[[#This Row],[Current Price]]&lt;=Price_Q3,"Medium Price","High Price")))</f>
        <v>High Price</v>
      </c>
      <c r="E18" s="8">
        <f t="shared" si="0"/>
        <v>2452</v>
      </c>
      <c r="F18" s="17">
        <f t="shared" si="1"/>
        <v>0.54488888888888887</v>
      </c>
      <c r="G18" s="17">
        <v>0.54</v>
      </c>
      <c r="H18" s="17" t="str">
        <f>IF(tblProducts[[#This Row],[Advertised Discount]]="","Missing",IF(tblProducts[[#This Row],[Advertised Discount]]&lt;20%,"Low Discount",IF(tblProducts[[#This Row],[Advertised Discount]]&lt;=40%,"Medium Discount","High Discount")))</f>
        <v>High Discount</v>
      </c>
      <c r="I18" s="17" t="str" cm="1">
        <f t="array" ref="I18">IF(OR(tblProducts[Advertised Discount]&lt;0%,tblProducts[Advertised Discount]&gt;100%),"Check rating","OK")</f>
        <v>OK</v>
      </c>
      <c r="J18" s="2">
        <v>7</v>
      </c>
      <c r="K18" s="9">
        <v>4.3</v>
      </c>
      <c r="L18" s="3" t="str">
        <f>IF(tblProducts[[#This Row],[Rating]]="","Missing",IF(tblProducts[[#This Row],[Rating]]&lt;3,"Poor",IF(tblProducts[[#This Row],[Rating]]&lt;=4.5,"Average","Excellent")))</f>
        <v>Average</v>
      </c>
      <c r="M18" s="3" t="str">
        <f>IF(OR(tblProducts[[#This Row],[Rating]]&lt;0,tblProducts[[#This Row],[Rating]]&gt;5),"Check rating","OK")</f>
        <v>OK</v>
      </c>
      <c r="N18" s="3" t="str">
        <f t="shared" si="2"/>
        <v>Complete</v>
      </c>
      <c r="O18" s="3" t="str">
        <f t="shared" si="3"/>
        <v>Weak Engagement</v>
      </c>
      <c r="P18" s="3" t="str">
        <f t="shared" si="4"/>
        <v>No</v>
      </c>
      <c r="Q18" s="3" t="str">
        <f t="shared" si="5"/>
        <v>Yes</v>
      </c>
      <c r="R18" s="3" t="str">
        <f t="shared" si="6"/>
        <v>No</v>
      </c>
      <c r="S18" s="3" t="str">
        <f t="shared" si="7"/>
        <v>No</v>
      </c>
    </row>
    <row r="19" spans="1:19" x14ac:dyDescent="0.25">
      <c r="A19" s="7" t="s">
        <v>63</v>
      </c>
      <c r="B19" s="13">
        <v>2025</v>
      </c>
      <c r="C19" s="13">
        <v>3971</v>
      </c>
      <c r="D19" s="13" t="str">
        <f>IF(tblProducts[[#This Row],[Current Price]]="","Missing",IF(tblProducts[[#This Row],[Current Price]]&lt;=Price_Q1,"Low Price",IF(tblProducts[[#This Row],[Current Price]]&lt;=Price_Q3,"Medium Price","High Price")))</f>
        <v>High Price</v>
      </c>
      <c r="E19" s="8">
        <f t="shared" si="0"/>
        <v>1946</v>
      </c>
      <c r="F19" s="17">
        <f t="shared" si="1"/>
        <v>0.49005288340468395</v>
      </c>
      <c r="G19" s="17">
        <v>0.49</v>
      </c>
      <c r="H19" s="17" t="str">
        <f>IF(tblProducts[[#This Row],[Advertised Discount]]="","Missing",IF(tblProducts[[#This Row],[Advertised Discount]]&lt;20%,"Low Discount",IF(tblProducts[[#This Row],[Advertised Discount]]&lt;=40%,"Medium Discount","High Discount")))</f>
        <v>High Discount</v>
      </c>
      <c r="I19" s="17" t="str" cm="1">
        <f t="array" ref="I19">IF(OR(tblProducts[Advertised Discount]&lt;0%,tblProducts[Advertised Discount]&gt;100%),"Check rating","OK")</f>
        <v>OK</v>
      </c>
      <c r="J19" s="2">
        <v>3</v>
      </c>
      <c r="K19" s="9">
        <v>5</v>
      </c>
      <c r="L19" s="3" t="str">
        <f>IF(tblProducts[[#This Row],[Rating]]="","Missing",IF(tblProducts[[#This Row],[Rating]]&lt;3,"Poor",IF(tblProducts[[#This Row],[Rating]]&lt;=4.5,"Average","Excellent")))</f>
        <v>Excellent</v>
      </c>
      <c r="M19" s="3" t="str">
        <f>IF(OR(tblProducts[[#This Row],[Rating]]&lt;0,tblProducts[[#This Row],[Rating]]&gt;5),"Check rating","OK")</f>
        <v>OK</v>
      </c>
      <c r="N19" s="3" t="str">
        <f t="shared" si="2"/>
        <v>Complete</v>
      </c>
      <c r="O19" s="3" t="str">
        <f t="shared" si="3"/>
        <v>Weak Engagement</v>
      </c>
      <c r="P19" s="3" t="str">
        <f t="shared" si="4"/>
        <v>No</v>
      </c>
      <c r="Q19" s="3" t="str">
        <f t="shared" si="5"/>
        <v>Yes</v>
      </c>
      <c r="R19" s="3" t="str">
        <f t="shared" si="6"/>
        <v>No</v>
      </c>
      <c r="S19" s="3" t="str">
        <f t="shared" si="7"/>
        <v>No</v>
      </c>
    </row>
    <row r="20" spans="1:19" x14ac:dyDescent="0.25">
      <c r="A20" s="7" t="s">
        <v>115</v>
      </c>
      <c r="B20" s="13">
        <v>1980</v>
      </c>
      <c r="C20" s="13">
        <v>2699</v>
      </c>
      <c r="D20" s="13" t="str">
        <f>IF(tblProducts[[#This Row],[Current Price]]="","Missing",IF(tblProducts[[#This Row],[Current Price]]&lt;=Price_Q1,"Low Price",IF(tblProducts[[#This Row],[Current Price]]&lt;=Price_Q3,"Medium Price","High Price")))</f>
        <v>High Price</v>
      </c>
      <c r="E20" s="8">
        <f t="shared" si="0"/>
        <v>719</v>
      </c>
      <c r="F20" s="17">
        <f t="shared" si="1"/>
        <v>0.26639496109670247</v>
      </c>
      <c r="G20" s="17">
        <v>0.27</v>
      </c>
      <c r="H20" s="17" t="str">
        <f>IF(tblProducts[[#This Row],[Advertised Discount]]="","Missing",IF(tblProducts[[#This Row],[Advertised Discount]]&lt;20%,"Low Discount",IF(tblProducts[[#This Row],[Advertised Discount]]&lt;=40%,"Medium Discount","High Discount")))</f>
        <v>Medium Discount</v>
      </c>
      <c r="I20" s="17" t="str" cm="1">
        <f t="array" ref="I20">IF(OR(tblProducts[Advertised Discount]&lt;0%,tblProducts[Advertised Discount]&gt;100%),"Check rating","OK")</f>
        <v>OK</v>
      </c>
      <c r="J20" s="2">
        <v>32</v>
      </c>
      <c r="K20" s="9">
        <v>4.5</v>
      </c>
      <c r="L20" s="3" t="str">
        <f>IF(tblProducts[[#This Row],[Rating]]="","Missing",IF(tblProducts[[#This Row],[Rating]]&lt;3,"Poor",IF(tblProducts[[#This Row],[Rating]]&lt;=4.5,"Average","Excellent")))</f>
        <v>Average</v>
      </c>
      <c r="M20" s="3" t="str">
        <f>IF(OR(tblProducts[[#This Row],[Rating]]&lt;0,tblProducts[[#This Row],[Rating]]&gt;5),"Check rating","OK")</f>
        <v>OK</v>
      </c>
      <c r="N20" s="3" t="str">
        <f t="shared" si="2"/>
        <v>Complete</v>
      </c>
      <c r="O20" s="3" t="str">
        <f t="shared" si="3"/>
        <v>Strong Engagement</v>
      </c>
      <c r="P20" s="3" t="str">
        <f t="shared" si="4"/>
        <v>No</v>
      </c>
      <c r="Q20" s="3" t="str">
        <f t="shared" si="5"/>
        <v>No</v>
      </c>
      <c r="R20" s="3" t="str">
        <f t="shared" si="6"/>
        <v>Yes</v>
      </c>
      <c r="S20" s="3" t="str">
        <f t="shared" si="7"/>
        <v>No</v>
      </c>
    </row>
    <row r="21" spans="1:19" x14ac:dyDescent="0.25">
      <c r="A21" s="7" t="s">
        <v>112</v>
      </c>
      <c r="B21" s="13">
        <v>1940</v>
      </c>
      <c r="C21" s="13">
        <v>2650</v>
      </c>
      <c r="D21" s="13" t="str">
        <f>IF(tblProducts[[#This Row],[Current Price]]="","Missing",IF(tblProducts[[#This Row],[Current Price]]&lt;=Price_Q1,"Low Price",IF(tblProducts[[#This Row],[Current Price]]&lt;=Price_Q3,"Medium Price","High Price")))</f>
        <v>High Price</v>
      </c>
      <c r="E21" s="8">
        <f t="shared" si="0"/>
        <v>710</v>
      </c>
      <c r="F21" s="17">
        <f t="shared" si="1"/>
        <v>0.26792452830188679</v>
      </c>
      <c r="G21" s="17">
        <v>0.27</v>
      </c>
      <c r="H21" s="17" t="str">
        <f>IF(tblProducts[[#This Row],[Advertised Discount]]="","Missing",IF(tblProducts[[#This Row],[Advertised Discount]]&lt;20%,"Low Discount",IF(tblProducts[[#This Row],[Advertised Discount]]&lt;=40%,"Medium Discount","High Discount")))</f>
        <v>Medium Discount</v>
      </c>
      <c r="I21" s="17" t="str" cm="1">
        <f t="array" ref="I21">IF(OR(tblProducts[Advertised Discount]&lt;0%,tblProducts[Advertised Discount]&gt;100%),"Check rating","OK")</f>
        <v>OK</v>
      </c>
      <c r="J21" s="2">
        <v>2</v>
      </c>
      <c r="K21" s="9">
        <v>4.7</v>
      </c>
      <c r="L21" s="3" t="str">
        <f>IF(tblProducts[[#This Row],[Rating]]="","Missing",IF(tblProducts[[#This Row],[Rating]]&lt;3,"Poor",IF(tblProducts[[#This Row],[Rating]]&lt;=4.5,"Average","Excellent")))</f>
        <v>Excellent</v>
      </c>
      <c r="M21" s="3" t="str">
        <f>IF(OR(tblProducts[[#This Row],[Rating]]&lt;0,tblProducts[[#This Row],[Rating]]&gt;5),"Check rating","OK")</f>
        <v>OK</v>
      </c>
      <c r="N21" s="3" t="str">
        <f t="shared" si="2"/>
        <v>Complete</v>
      </c>
      <c r="O21" s="3" t="str">
        <f t="shared" si="3"/>
        <v>Weak Engagement</v>
      </c>
      <c r="P21" s="3" t="str">
        <f t="shared" si="4"/>
        <v>No</v>
      </c>
      <c r="Q21" s="3" t="str">
        <f t="shared" si="5"/>
        <v>No</v>
      </c>
      <c r="R21" s="3" t="str">
        <f t="shared" si="6"/>
        <v>No</v>
      </c>
      <c r="S21" s="3" t="str">
        <f t="shared" si="7"/>
        <v>No</v>
      </c>
    </row>
    <row r="22" spans="1:19" x14ac:dyDescent="0.25">
      <c r="A22" s="7" t="s">
        <v>302</v>
      </c>
      <c r="B22" s="13">
        <v>1875</v>
      </c>
      <c r="C22" s="13">
        <v>1899</v>
      </c>
      <c r="D22" s="13" t="str">
        <f>IF(tblProducts[[#This Row],[Current Price]]="","Missing",IF(tblProducts[[#This Row],[Current Price]]&lt;=Price_Q1,"Low Price",IF(tblProducts[[#This Row],[Current Price]]&lt;=Price_Q3,"Medium Price","High Price")))</f>
        <v>High Price</v>
      </c>
      <c r="E22" s="8">
        <f t="shared" si="0"/>
        <v>24</v>
      </c>
      <c r="F22" s="17">
        <f t="shared" si="1"/>
        <v>1.2638230647709321E-2</v>
      </c>
      <c r="G22" s="17">
        <v>0.01</v>
      </c>
      <c r="H22" s="17" t="str">
        <f>IF(tblProducts[[#This Row],[Advertised Discount]]="","Missing",IF(tblProducts[[#This Row],[Advertised Discount]]&lt;20%,"Low Discount",IF(tblProducts[[#This Row],[Advertised Discount]]&lt;=40%,"Medium Discount","High Discount")))</f>
        <v>Low Discount</v>
      </c>
      <c r="I22" s="17" t="str" cm="1">
        <f t="array" ref="I22">IF(OR(tblProducts[Advertised Discount]&lt;0%,tblProducts[Advertised Discount]&gt;100%),"Check rating","OK")</f>
        <v>OK</v>
      </c>
      <c r="J22" s="2"/>
      <c r="K22" s="9" t="s">
        <v>78</v>
      </c>
      <c r="L22" s="3" t="str">
        <f>IF(tblProducts[[#This Row],[Rating]]="","Missing",IF(tblProducts[[#This Row],[Rating]]&lt;3,"Poor",IF(tblProducts[[#This Row],[Rating]]&lt;=4.5,"Average","Excellent")))</f>
        <v>Missing</v>
      </c>
      <c r="M22" s="3" t="str">
        <f>IF(OR(tblProducts[[#This Row],[Rating]]&lt;0,tblProducts[[#This Row],[Rating]]&gt;5),"Check rating","OK")</f>
        <v>Check rating</v>
      </c>
      <c r="N22" s="3" t="str">
        <f t="shared" si="2"/>
        <v>Missing rating and review</v>
      </c>
      <c r="O22" s="3" t="str">
        <f t="shared" si="3"/>
        <v>Weak Engagement</v>
      </c>
      <c r="P22" s="3" t="str">
        <f t="shared" si="4"/>
        <v>Missing</v>
      </c>
      <c r="Q22" s="3" t="str">
        <f t="shared" si="5"/>
        <v>Missing</v>
      </c>
      <c r="R22" s="3" t="str">
        <f t="shared" si="6"/>
        <v>Missing</v>
      </c>
      <c r="S22" s="3" t="str">
        <f t="shared" si="7"/>
        <v>Missing</v>
      </c>
    </row>
    <row r="23" spans="1:19" x14ac:dyDescent="0.25">
      <c r="A23" s="7" t="s">
        <v>75</v>
      </c>
      <c r="B23" s="13">
        <v>1860</v>
      </c>
      <c r="C23" s="13">
        <v>3220</v>
      </c>
      <c r="D23" s="13" t="str">
        <f>IF(tblProducts[[#This Row],[Current Price]]="","Missing",IF(tblProducts[[#This Row],[Current Price]]&lt;=Price_Q1,"Low Price",IF(tblProducts[[#This Row],[Current Price]]&lt;=Price_Q3,"Medium Price","High Price")))</f>
        <v>High Price</v>
      </c>
      <c r="E23" s="8">
        <f t="shared" si="0"/>
        <v>1360</v>
      </c>
      <c r="F23" s="17">
        <f t="shared" si="1"/>
        <v>0.42236024844720499</v>
      </c>
      <c r="G23" s="17">
        <v>0.42</v>
      </c>
      <c r="H23" s="17" t="str">
        <f>IF(tblProducts[[#This Row],[Advertised Discount]]="","Missing",IF(tblProducts[[#This Row],[Advertised Discount]]&lt;20%,"Low Discount",IF(tblProducts[[#This Row],[Advertised Discount]]&lt;=40%,"Medium Discount","High Discount")))</f>
        <v>High Discount</v>
      </c>
      <c r="I23" s="17" t="str" cm="1">
        <f t="array" ref="I23">IF(OR(tblProducts[Advertised Discount]&lt;0%,tblProducts[Advertised Discount]&gt;100%),"Check rating","OK")</f>
        <v>OK</v>
      </c>
      <c r="J23" s="2"/>
      <c r="K23" s="9" t="s">
        <v>78</v>
      </c>
      <c r="L23" s="3" t="str">
        <f>IF(tblProducts[[#This Row],[Rating]]="","Missing",IF(tblProducts[[#This Row],[Rating]]&lt;3,"Poor",IF(tblProducts[[#This Row],[Rating]]&lt;=4.5,"Average","Excellent")))</f>
        <v>Missing</v>
      </c>
      <c r="M23" s="3" t="str">
        <f>IF(OR(tblProducts[[#This Row],[Rating]]&lt;0,tblProducts[[#This Row],[Rating]]&gt;5),"Check rating","OK")</f>
        <v>Check rating</v>
      </c>
      <c r="N23" s="3" t="str">
        <f t="shared" si="2"/>
        <v>Missing rating and review</v>
      </c>
      <c r="O23" s="3" t="str">
        <f t="shared" si="3"/>
        <v>Weak Engagement</v>
      </c>
      <c r="P23" s="3" t="str">
        <f t="shared" si="4"/>
        <v>Missing</v>
      </c>
      <c r="Q23" s="3" t="str">
        <f t="shared" si="5"/>
        <v>Missing</v>
      </c>
      <c r="R23" s="3" t="str">
        <f t="shared" si="6"/>
        <v>Missing</v>
      </c>
      <c r="S23" s="3" t="str">
        <f t="shared" si="7"/>
        <v>Missing</v>
      </c>
    </row>
    <row r="24" spans="1:19" x14ac:dyDescent="0.25">
      <c r="A24" s="7" t="s">
        <v>109</v>
      </c>
      <c r="B24" s="13">
        <v>1820</v>
      </c>
      <c r="C24" s="13">
        <v>3490</v>
      </c>
      <c r="D24" s="13" t="str">
        <f>IF(tblProducts[[#This Row],[Current Price]]="","Missing",IF(tblProducts[[#This Row],[Current Price]]&lt;=Price_Q1,"Low Price",IF(tblProducts[[#This Row],[Current Price]]&lt;=Price_Q3,"Medium Price","High Price")))</f>
        <v>High Price</v>
      </c>
      <c r="E24" s="8">
        <f t="shared" si="0"/>
        <v>1670</v>
      </c>
      <c r="F24" s="17">
        <f t="shared" si="1"/>
        <v>0.47851002865329512</v>
      </c>
      <c r="G24" s="17">
        <v>0.48</v>
      </c>
      <c r="H24" s="17" t="str">
        <f>IF(tblProducts[[#This Row],[Advertised Discount]]="","Missing",IF(tblProducts[[#This Row],[Advertised Discount]]&lt;20%,"Low Discount",IF(tblProducts[[#This Row],[Advertised Discount]]&lt;=40%,"Medium Discount","High Discount")))</f>
        <v>High Discount</v>
      </c>
      <c r="I24" s="17" t="str" cm="1">
        <f t="array" ref="I24">IF(OR(tblProducts[Advertised Discount]&lt;0%,tblProducts[Advertised Discount]&gt;100%),"Check rating","OK")</f>
        <v>OK</v>
      </c>
      <c r="J24" s="2">
        <v>9</v>
      </c>
      <c r="K24" s="9">
        <v>4.3</v>
      </c>
      <c r="L24" s="3" t="str">
        <f>IF(tblProducts[[#This Row],[Rating]]="","Missing",IF(tblProducts[[#This Row],[Rating]]&lt;3,"Poor",IF(tblProducts[[#This Row],[Rating]]&lt;=4.5,"Average","Excellent")))</f>
        <v>Average</v>
      </c>
      <c r="M24" s="3" t="str">
        <f>IF(OR(tblProducts[[#This Row],[Rating]]&lt;0,tblProducts[[#This Row],[Rating]]&gt;5),"Check rating","OK")</f>
        <v>OK</v>
      </c>
      <c r="N24" s="3" t="str">
        <f t="shared" si="2"/>
        <v>Complete</v>
      </c>
      <c r="O24" s="3" t="str">
        <f t="shared" si="3"/>
        <v>Weak Engagement</v>
      </c>
      <c r="P24" s="3" t="str">
        <f t="shared" si="4"/>
        <v>No</v>
      </c>
      <c r="Q24" s="3" t="str">
        <f t="shared" si="5"/>
        <v>Yes</v>
      </c>
      <c r="R24" s="3" t="str">
        <f t="shared" si="6"/>
        <v>No</v>
      </c>
      <c r="S24" s="3" t="str">
        <f t="shared" si="7"/>
        <v>No</v>
      </c>
    </row>
    <row r="25" spans="1:19" x14ac:dyDescent="0.25">
      <c r="A25" s="7" t="s">
        <v>315</v>
      </c>
      <c r="B25" s="13">
        <v>1768</v>
      </c>
      <c r="C25" s="13">
        <v>1799</v>
      </c>
      <c r="D25" s="13" t="str">
        <f>IF(tblProducts[[#This Row],[Current Price]]="","Missing",IF(tblProducts[[#This Row],[Current Price]]&lt;=Price_Q1,"Low Price",IF(tblProducts[[#This Row],[Current Price]]&lt;=Price_Q3,"Medium Price","High Price")))</f>
        <v>High Price</v>
      </c>
      <c r="E25" s="8">
        <f t="shared" si="0"/>
        <v>31</v>
      </c>
      <c r="F25" s="17">
        <f t="shared" si="1"/>
        <v>1.7231795441912175E-2</v>
      </c>
      <c r="G25" s="17">
        <v>0.02</v>
      </c>
      <c r="H25" s="17" t="str">
        <f>IF(tblProducts[[#This Row],[Advertised Discount]]="","Missing",IF(tblProducts[[#This Row],[Advertised Discount]]&lt;20%,"Low Discount",IF(tblProducts[[#This Row],[Advertised Discount]]&lt;=40%,"Medium Discount","High Discount")))</f>
        <v>Low Discount</v>
      </c>
      <c r="I25" s="17" t="str" cm="1">
        <f t="array" ref="I25">IF(OR(tblProducts[Advertised Discount]&lt;0%,tblProducts[Advertised Discount]&gt;100%),"Check rating","OK")</f>
        <v>OK</v>
      </c>
      <c r="J25" s="2"/>
      <c r="K25" s="9" t="s">
        <v>78</v>
      </c>
      <c r="L25" s="3" t="str">
        <f>IF(tblProducts[[#This Row],[Rating]]="","Missing",IF(tblProducts[[#This Row],[Rating]]&lt;3,"Poor",IF(tblProducts[[#This Row],[Rating]]&lt;=4.5,"Average","Excellent")))</f>
        <v>Missing</v>
      </c>
      <c r="M25" s="3" t="str">
        <f>IF(OR(tblProducts[[#This Row],[Rating]]&lt;0,tblProducts[[#This Row],[Rating]]&gt;5),"Check rating","OK")</f>
        <v>Check rating</v>
      </c>
      <c r="N25" s="3" t="str">
        <f t="shared" si="2"/>
        <v>Missing rating and review</v>
      </c>
      <c r="O25" s="3" t="str">
        <f t="shared" si="3"/>
        <v>Weak Engagement</v>
      </c>
      <c r="P25" s="3" t="str">
        <f t="shared" si="4"/>
        <v>Missing</v>
      </c>
      <c r="Q25" s="3" t="str">
        <f t="shared" si="5"/>
        <v>Missing</v>
      </c>
      <c r="R25" s="3" t="str">
        <f t="shared" si="6"/>
        <v>Missing</v>
      </c>
      <c r="S25" s="3" t="str">
        <f t="shared" si="7"/>
        <v>Missing</v>
      </c>
    </row>
    <row r="26" spans="1:19" x14ac:dyDescent="0.25">
      <c r="A26" s="7" t="s">
        <v>98</v>
      </c>
      <c r="B26" s="13">
        <v>1758</v>
      </c>
      <c r="C26" s="13">
        <v>2499</v>
      </c>
      <c r="D26" s="13" t="str">
        <f>IF(tblProducts[[#This Row],[Current Price]]="","Missing",IF(tblProducts[[#This Row],[Current Price]]&lt;=Price_Q1,"Low Price",IF(tblProducts[[#This Row],[Current Price]]&lt;=Price_Q3,"Medium Price","High Price")))</f>
        <v>High Price</v>
      </c>
      <c r="E26" s="8">
        <f t="shared" si="0"/>
        <v>741</v>
      </c>
      <c r="F26" s="17">
        <f t="shared" si="1"/>
        <v>0.2965186074429772</v>
      </c>
      <c r="G26" s="17">
        <v>0.3</v>
      </c>
      <c r="H26" s="17" t="str">
        <f>IF(tblProducts[[#This Row],[Advertised Discount]]="","Missing",IF(tblProducts[[#This Row],[Advertised Discount]]&lt;20%,"Low Discount",IF(tblProducts[[#This Row],[Advertised Discount]]&lt;=40%,"Medium Discount","High Discount")))</f>
        <v>Medium Discount</v>
      </c>
      <c r="I26" s="17" t="str" cm="1">
        <f t="array" ref="I26">IF(OR(tblProducts[Advertised Discount]&lt;0%,tblProducts[Advertised Discount]&gt;100%),"Check rating","OK")</f>
        <v>OK</v>
      </c>
      <c r="J26" s="2">
        <v>2</v>
      </c>
      <c r="K26" s="9">
        <v>4.0999999999999996</v>
      </c>
      <c r="L26" s="3" t="str">
        <f>IF(tblProducts[[#This Row],[Rating]]="","Missing",IF(tblProducts[[#This Row],[Rating]]&lt;3,"Poor",IF(tblProducts[[#This Row],[Rating]]&lt;=4.5,"Average","Excellent")))</f>
        <v>Average</v>
      </c>
      <c r="M26" s="3" t="str">
        <f>IF(OR(tblProducts[[#This Row],[Rating]]&lt;0,tblProducts[[#This Row],[Rating]]&gt;5),"Check rating","OK")</f>
        <v>OK</v>
      </c>
      <c r="N26" s="3" t="str">
        <f t="shared" si="2"/>
        <v>Complete</v>
      </c>
      <c r="O26" s="3" t="str">
        <f t="shared" si="3"/>
        <v>Weak Engagement</v>
      </c>
      <c r="P26" s="3" t="str">
        <f t="shared" si="4"/>
        <v>No</v>
      </c>
      <c r="Q26" s="3" t="str">
        <f t="shared" si="5"/>
        <v>No</v>
      </c>
      <c r="R26" s="3" t="str">
        <f t="shared" si="6"/>
        <v>No</v>
      </c>
      <c r="S26" s="3" t="str">
        <f t="shared" si="7"/>
        <v>No</v>
      </c>
    </row>
    <row r="27" spans="1:19" x14ac:dyDescent="0.25">
      <c r="A27" s="7" t="s">
        <v>22</v>
      </c>
      <c r="B27" s="13">
        <v>1740</v>
      </c>
      <c r="C27" s="13">
        <v>2356</v>
      </c>
      <c r="D27" s="13" t="str">
        <f>IF(tblProducts[[#This Row],[Current Price]]="","Missing",IF(tblProducts[[#This Row],[Current Price]]&lt;=Price_Q1,"Low Price",IF(tblProducts[[#This Row],[Current Price]]&lt;=Price_Q3,"Medium Price","High Price")))</f>
        <v>High Price</v>
      </c>
      <c r="E27" s="8">
        <f t="shared" si="0"/>
        <v>616</v>
      </c>
      <c r="F27" s="17">
        <f t="shared" si="1"/>
        <v>0.26146010186757218</v>
      </c>
      <c r="G27" s="17">
        <v>0.26</v>
      </c>
      <c r="H27" s="17" t="str">
        <f>IF(tblProducts[[#This Row],[Advertised Discount]]="","Missing",IF(tblProducts[[#This Row],[Advertised Discount]]&lt;20%,"Low Discount",IF(tblProducts[[#This Row],[Advertised Discount]]&lt;=40%,"Medium Discount","High Discount")))</f>
        <v>Medium Discount</v>
      </c>
      <c r="I27" s="17" t="str" cm="1">
        <f t="array" ref="I27">IF(OR(tblProducts[Advertised Discount]&lt;0%,tblProducts[Advertised Discount]&gt;100%),"Check rating","OK")</f>
        <v>OK</v>
      </c>
      <c r="J27" s="2">
        <v>5</v>
      </c>
      <c r="K27" s="9">
        <v>4.8</v>
      </c>
      <c r="L27" s="3" t="str">
        <f>IF(tblProducts[[#This Row],[Rating]]="","Missing",IF(tblProducts[[#This Row],[Rating]]&lt;3,"Poor",IF(tblProducts[[#This Row],[Rating]]&lt;=4.5,"Average","Excellent")))</f>
        <v>Excellent</v>
      </c>
      <c r="M27" s="3" t="str">
        <f>IF(OR(tblProducts[[#This Row],[Rating]]&lt;0,tblProducts[[#This Row],[Rating]]&gt;5),"Check rating","OK")</f>
        <v>OK</v>
      </c>
      <c r="N27" s="3" t="str">
        <f t="shared" si="2"/>
        <v>Complete</v>
      </c>
      <c r="O27" s="3" t="str">
        <f t="shared" si="3"/>
        <v>Weak Engagement</v>
      </c>
      <c r="P27" s="3" t="str">
        <f t="shared" si="4"/>
        <v>No</v>
      </c>
      <c r="Q27" s="3" t="str">
        <f t="shared" si="5"/>
        <v>No</v>
      </c>
      <c r="R27" s="3" t="str">
        <f t="shared" si="6"/>
        <v>No</v>
      </c>
      <c r="S27" s="3" t="str">
        <f t="shared" si="7"/>
        <v>No</v>
      </c>
    </row>
    <row r="28" spans="1:19" x14ac:dyDescent="0.25">
      <c r="A28" s="7" t="s">
        <v>238</v>
      </c>
      <c r="B28" s="13">
        <v>1732</v>
      </c>
      <c r="C28" s="13">
        <v>1799</v>
      </c>
      <c r="D28" s="13" t="str">
        <f>IF(tblProducts[[#This Row],[Current Price]]="","Missing",IF(tblProducts[[#This Row],[Current Price]]&lt;=Price_Q1,"Low Price",IF(tblProducts[[#This Row],[Current Price]]&lt;=Price_Q3,"Medium Price","High Price")))</f>
        <v>High Price</v>
      </c>
      <c r="E28" s="8">
        <f t="shared" si="0"/>
        <v>67</v>
      </c>
      <c r="F28" s="17">
        <f t="shared" si="1"/>
        <v>3.7242912729294052E-2</v>
      </c>
      <c r="G28" s="17">
        <v>0.04</v>
      </c>
      <c r="H28" s="17" t="str">
        <f>IF(tblProducts[[#This Row],[Advertised Discount]]="","Missing",IF(tblProducts[[#This Row],[Advertised Discount]]&lt;20%,"Low Discount",IF(tblProducts[[#This Row],[Advertised Discount]]&lt;=40%,"Medium Discount","High Discount")))</f>
        <v>Low Discount</v>
      </c>
      <c r="I28" s="17" t="str" cm="1">
        <f t="array" ref="I28">IF(OR(tblProducts[Advertised Discount]&lt;0%,tblProducts[Advertised Discount]&gt;100%),"Check rating","OK")</f>
        <v>OK</v>
      </c>
      <c r="J28" s="2"/>
      <c r="K28" s="9" t="s">
        <v>78</v>
      </c>
      <c r="L28" s="3" t="str">
        <f>IF(tblProducts[[#This Row],[Rating]]="","Missing",IF(tblProducts[[#This Row],[Rating]]&lt;3,"Poor",IF(tblProducts[[#This Row],[Rating]]&lt;=4.5,"Average","Excellent")))</f>
        <v>Missing</v>
      </c>
      <c r="M28" s="3" t="str">
        <f>IF(OR(tblProducts[[#This Row],[Rating]]&lt;0,tblProducts[[#This Row],[Rating]]&gt;5),"Check rating","OK")</f>
        <v>Check rating</v>
      </c>
      <c r="N28" s="3" t="str">
        <f t="shared" si="2"/>
        <v>Missing rating and review</v>
      </c>
      <c r="O28" s="3" t="str">
        <f t="shared" si="3"/>
        <v>Weak Engagement</v>
      </c>
      <c r="P28" s="3" t="str">
        <f t="shared" si="4"/>
        <v>Missing</v>
      </c>
      <c r="Q28" s="3" t="str">
        <f t="shared" si="5"/>
        <v>Missing</v>
      </c>
      <c r="R28" s="3" t="str">
        <f t="shared" si="6"/>
        <v>Missing</v>
      </c>
      <c r="S28" s="3" t="str">
        <f t="shared" si="7"/>
        <v>Missing</v>
      </c>
    </row>
    <row r="29" spans="1:19" x14ac:dyDescent="0.25">
      <c r="A29" s="7" t="s">
        <v>53</v>
      </c>
      <c r="B29" s="13">
        <v>1680</v>
      </c>
      <c r="C29" s="13">
        <v>2499</v>
      </c>
      <c r="D29" s="13" t="str">
        <f>IF(tblProducts[[#This Row],[Current Price]]="","Missing",IF(tblProducts[[#This Row],[Current Price]]&lt;=Price_Q1,"Low Price",IF(tblProducts[[#This Row],[Current Price]]&lt;=Price_Q3,"Medium Price","High Price")))</f>
        <v>High Price</v>
      </c>
      <c r="E29" s="8">
        <f t="shared" si="0"/>
        <v>819</v>
      </c>
      <c r="F29" s="17">
        <f t="shared" si="1"/>
        <v>0.32773109243697479</v>
      </c>
      <c r="G29" s="17">
        <v>0.33</v>
      </c>
      <c r="H29" s="17" t="str">
        <f>IF(tblProducts[[#This Row],[Advertised Discount]]="","Missing",IF(tblProducts[[#This Row],[Advertised Discount]]&lt;20%,"Low Discount",IF(tblProducts[[#This Row],[Advertised Discount]]&lt;=40%,"Medium Discount","High Discount")))</f>
        <v>Medium Discount</v>
      </c>
      <c r="I29" s="17" t="str" cm="1">
        <f t="array" ref="I29">IF(OR(tblProducts[Advertised Discount]&lt;0%,tblProducts[Advertised Discount]&gt;100%),"Check rating","OK")</f>
        <v>OK</v>
      </c>
      <c r="J29" s="2">
        <v>9</v>
      </c>
      <c r="K29" s="9">
        <v>4.2</v>
      </c>
      <c r="L29" s="3" t="str">
        <f>IF(tblProducts[[#This Row],[Rating]]="","Missing",IF(tblProducts[[#This Row],[Rating]]&lt;3,"Poor",IF(tblProducts[[#This Row],[Rating]]&lt;=4.5,"Average","Excellent")))</f>
        <v>Average</v>
      </c>
      <c r="M29" s="3" t="str">
        <f>IF(OR(tblProducts[[#This Row],[Rating]]&lt;0,tblProducts[[#This Row],[Rating]]&gt;5),"Check rating","OK")</f>
        <v>OK</v>
      </c>
      <c r="N29" s="3" t="str">
        <f t="shared" si="2"/>
        <v>Complete</v>
      </c>
      <c r="O29" s="3" t="str">
        <f t="shared" si="3"/>
        <v>Weak Engagement</v>
      </c>
      <c r="P29" s="3" t="str">
        <f t="shared" si="4"/>
        <v>No</v>
      </c>
      <c r="Q29" s="3" t="str">
        <f t="shared" si="5"/>
        <v>No</v>
      </c>
      <c r="R29" s="3" t="str">
        <f t="shared" si="6"/>
        <v>No</v>
      </c>
      <c r="S29" s="3" t="str">
        <f t="shared" si="7"/>
        <v>No</v>
      </c>
    </row>
    <row r="30" spans="1:19" x14ac:dyDescent="0.25">
      <c r="A30" s="7" t="s">
        <v>252</v>
      </c>
      <c r="B30" s="13">
        <v>1666</v>
      </c>
      <c r="C30" s="13">
        <v>1699</v>
      </c>
      <c r="D30" s="13" t="str">
        <f>IF(tblProducts[[#This Row],[Current Price]]="","Missing",IF(tblProducts[[#This Row],[Current Price]]&lt;=Price_Q1,"Low Price",IF(tblProducts[[#This Row],[Current Price]]&lt;=Price_Q3,"Medium Price","High Price")))</f>
        <v>Medium Price</v>
      </c>
      <c r="E30" s="8">
        <f t="shared" si="0"/>
        <v>33</v>
      </c>
      <c r="F30" s="17">
        <f t="shared" si="1"/>
        <v>1.9423190111830489E-2</v>
      </c>
      <c r="G30" s="17">
        <v>0.02</v>
      </c>
      <c r="H30" s="17" t="str">
        <f>IF(tblProducts[[#This Row],[Advertised Discount]]="","Missing",IF(tblProducts[[#This Row],[Advertised Discount]]&lt;20%,"Low Discount",IF(tblProducts[[#This Row],[Advertised Discount]]&lt;=40%,"Medium Discount","High Discount")))</f>
        <v>Low Discount</v>
      </c>
      <c r="I30" s="17" t="str" cm="1">
        <f t="array" ref="I30">IF(OR(tblProducts[Advertised Discount]&lt;0%,tblProducts[Advertised Discount]&gt;100%),"Check rating","OK")</f>
        <v>OK</v>
      </c>
      <c r="J30" s="2"/>
      <c r="K30" s="9" t="s">
        <v>78</v>
      </c>
      <c r="L30" s="3" t="str">
        <f>IF(tblProducts[[#This Row],[Rating]]="","Missing",IF(tblProducts[[#This Row],[Rating]]&lt;3,"Poor",IF(tblProducts[[#This Row],[Rating]]&lt;=4.5,"Average","Excellent")))</f>
        <v>Missing</v>
      </c>
      <c r="M30" s="3" t="str">
        <f>IF(OR(tblProducts[[#This Row],[Rating]]&lt;0,tblProducts[[#This Row],[Rating]]&gt;5),"Check rating","OK")</f>
        <v>Check rating</v>
      </c>
      <c r="N30" s="3" t="str">
        <f t="shared" si="2"/>
        <v>Missing rating and review</v>
      </c>
      <c r="O30" s="3" t="str">
        <f t="shared" si="3"/>
        <v>Weak Engagement</v>
      </c>
      <c r="P30" s="3" t="str">
        <f t="shared" si="4"/>
        <v>Missing</v>
      </c>
      <c r="Q30" s="3" t="str">
        <f t="shared" si="5"/>
        <v>Missing</v>
      </c>
      <c r="R30" s="3" t="str">
        <f t="shared" si="6"/>
        <v>Missing</v>
      </c>
      <c r="S30" s="3" t="str">
        <f t="shared" si="7"/>
        <v>Missing</v>
      </c>
    </row>
    <row r="31" spans="1:19" x14ac:dyDescent="0.25">
      <c r="A31" s="7" t="s">
        <v>161</v>
      </c>
      <c r="B31" s="13">
        <v>1660</v>
      </c>
      <c r="C31" s="13">
        <v>1699</v>
      </c>
      <c r="D31" s="13" t="str">
        <f>IF(tblProducts[[#This Row],[Current Price]]="","Missing",IF(tblProducts[[#This Row],[Current Price]]&lt;=Price_Q1,"Low Price",IF(tblProducts[[#This Row],[Current Price]]&lt;=Price_Q3,"Medium Price","High Price")))</f>
        <v>Medium Price</v>
      </c>
      <c r="E31" s="8">
        <f t="shared" si="0"/>
        <v>39</v>
      </c>
      <c r="F31" s="17">
        <f t="shared" si="1"/>
        <v>2.2954679223072396E-2</v>
      </c>
      <c r="G31" s="17">
        <v>0.02</v>
      </c>
      <c r="H31" s="17" t="str">
        <f>IF(tblProducts[[#This Row],[Advertised Discount]]="","Missing",IF(tblProducts[[#This Row],[Advertised Discount]]&lt;20%,"Low Discount",IF(tblProducts[[#This Row],[Advertised Discount]]&lt;=40%,"Medium Discount","High Discount")))</f>
        <v>Low Discount</v>
      </c>
      <c r="I31" s="17" t="str" cm="1">
        <f t="array" ref="I31">IF(OR(tblProducts[Advertised Discount]&lt;0%,tblProducts[Advertised Discount]&gt;100%),"Check rating","OK")</f>
        <v>OK</v>
      </c>
      <c r="J31" s="2"/>
      <c r="K31" s="9" t="s">
        <v>78</v>
      </c>
      <c r="L31" s="3" t="str">
        <f>IF(tblProducts[[#This Row],[Rating]]="","Missing",IF(tblProducts[[#This Row],[Rating]]&lt;3,"Poor",IF(tblProducts[[#This Row],[Rating]]&lt;=4.5,"Average","Excellent")))</f>
        <v>Missing</v>
      </c>
      <c r="M31" s="3" t="str">
        <f>IF(OR(tblProducts[[#This Row],[Rating]]&lt;0,tblProducts[[#This Row],[Rating]]&gt;5),"Check rating","OK")</f>
        <v>Check rating</v>
      </c>
      <c r="N31" s="3" t="str">
        <f t="shared" si="2"/>
        <v>Missing rating and review</v>
      </c>
      <c r="O31" s="3" t="str">
        <f t="shared" si="3"/>
        <v>Weak Engagement</v>
      </c>
      <c r="P31" s="3" t="str">
        <f t="shared" si="4"/>
        <v>Missing</v>
      </c>
      <c r="Q31" s="3" t="str">
        <f t="shared" si="5"/>
        <v>Missing</v>
      </c>
      <c r="R31" s="3" t="str">
        <f t="shared" si="6"/>
        <v>Missing</v>
      </c>
      <c r="S31" s="3" t="str">
        <f t="shared" si="7"/>
        <v>Missing</v>
      </c>
    </row>
    <row r="32" spans="1:19" x14ac:dyDescent="0.25">
      <c r="A32" s="7" t="s">
        <v>313</v>
      </c>
      <c r="B32" s="13">
        <v>1658</v>
      </c>
      <c r="C32" s="13">
        <v>1699</v>
      </c>
      <c r="D32" s="13" t="str">
        <f>IF(tblProducts[[#This Row],[Current Price]]="","Missing",IF(tblProducts[[#This Row],[Current Price]]&lt;=Price_Q1,"Low Price",IF(tblProducts[[#This Row],[Current Price]]&lt;=Price_Q3,"Medium Price","High Price")))</f>
        <v>Medium Price</v>
      </c>
      <c r="E32" s="8">
        <f t="shared" si="0"/>
        <v>41</v>
      </c>
      <c r="F32" s="17">
        <f t="shared" si="1"/>
        <v>2.4131842260153032E-2</v>
      </c>
      <c r="G32" s="17">
        <v>0.02</v>
      </c>
      <c r="H32" s="17" t="str">
        <f>IF(tblProducts[[#This Row],[Advertised Discount]]="","Missing",IF(tblProducts[[#This Row],[Advertised Discount]]&lt;20%,"Low Discount",IF(tblProducts[[#This Row],[Advertised Discount]]&lt;=40%,"Medium Discount","High Discount")))</f>
        <v>Low Discount</v>
      </c>
      <c r="I32" s="17" t="str" cm="1">
        <f t="array" ref="I32">IF(OR(tblProducts[Advertised Discount]&lt;0%,tblProducts[Advertised Discount]&gt;100%),"Check rating","OK")</f>
        <v>OK</v>
      </c>
      <c r="J32" s="2"/>
      <c r="K32" s="9" t="s">
        <v>78</v>
      </c>
      <c r="L32" s="3" t="str">
        <f>IF(tblProducts[[#This Row],[Rating]]="","Missing",IF(tblProducts[[#This Row],[Rating]]&lt;3,"Poor",IF(tblProducts[[#This Row],[Rating]]&lt;=4.5,"Average","Excellent")))</f>
        <v>Missing</v>
      </c>
      <c r="M32" s="3" t="str">
        <f>IF(OR(tblProducts[[#This Row],[Rating]]&lt;0,tblProducts[[#This Row],[Rating]]&gt;5),"Check rating","OK")</f>
        <v>Check rating</v>
      </c>
      <c r="N32" s="3" t="str">
        <f t="shared" si="2"/>
        <v>Missing rating and review</v>
      </c>
      <c r="O32" s="3" t="str">
        <f t="shared" si="3"/>
        <v>Weak Engagement</v>
      </c>
      <c r="P32" s="3" t="str">
        <f t="shared" si="4"/>
        <v>Missing</v>
      </c>
      <c r="Q32" s="3" t="str">
        <f t="shared" si="5"/>
        <v>Missing</v>
      </c>
      <c r="R32" s="3" t="str">
        <f t="shared" si="6"/>
        <v>Missing</v>
      </c>
      <c r="S32" s="3" t="str">
        <f t="shared" si="7"/>
        <v>Missing</v>
      </c>
    </row>
    <row r="33" spans="1:19" x14ac:dyDescent="0.25">
      <c r="A33" s="7" t="s">
        <v>82</v>
      </c>
      <c r="B33" s="13">
        <v>1650</v>
      </c>
      <c r="C33" s="13">
        <v>2150</v>
      </c>
      <c r="D33" s="13" t="str">
        <f>IF(tblProducts[[#This Row],[Current Price]]="","Missing",IF(tblProducts[[#This Row],[Current Price]]&lt;=Price_Q1,"Low Price",IF(tblProducts[[#This Row],[Current Price]]&lt;=Price_Q3,"Medium Price","High Price")))</f>
        <v>Medium Price</v>
      </c>
      <c r="E33" s="8">
        <f t="shared" si="0"/>
        <v>500</v>
      </c>
      <c r="F33" s="17">
        <f t="shared" si="1"/>
        <v>0.23255813953488372</v>
      </c>
      <c r="G33" s="17">
        <v>0.23</v>
      </c>
      <c r="H33" s="17" t="str">
        <f>IF(tblProducts[[#This Row],[Advertised Discount]]="","Missing",IF(tblProducts[[#This Row],[Advertised Discount]]&lt;20%,"Low Discount",IF(tblProducts[[#This Row],[Advertised Discount]]&lt;=40%,"Medium Discount","High Discount")))</f>
        <v>Medium Discount</v>
      </c>
      <c r="I33" s="17" t="str" cm="1">
        <f t="array" ref="I33">IF(OR(tblProducts[Advertised Discount]&lt;0%,tblProducts[Advertised Discount]&gt;100%),"Check rating","OK")</f>
        <v>OK</v>
      </c>
      <c r="J33" s="2">
        <v>14</v>
      </c>
      <c r="K33" s="9">
        <v>4.4000000000000004</v>
      </c>
      <c r="L33" s="3" t="str">
        <f>IF(tblProducts[[#This Row],[Rating]]="","Missing",IF(tblProducts[[#This Row],[Rating]]&lt;3,"Poor",IF(tblProducts[[#This Row],[Rating]]&lt;=4.5,"Average","Excellent")))</f>
        <v>Average</v>
      </c>
      <c r="M33" s="3" t="str">
        <f>IF(OR(tblProducts[[#This Row],[Rating]]&lt;0,tblProducts[[#This Row],[Rating]]&gt;5),"Check rating","OK")</f>
        <v>OK</v>
      </c>
      <c r="N33" s="3" t="str">
        <f t="shared" si="2"/>
        <v>Complete</v>
      </c>
      <c r="O33" s="3" t="str">
        <f t="shared" si="3"/>
        <v>Strong Engagement</v>
      </c>
      <c r="P33" s="3" t="str">
        <f t="shared" si="4"/>
        <v>No</v>
      </c>
      <c r="Q33" s="3" t="str">
        <f t="shared" si="5"/>
        <v>No</v>
      </c>
      <c r="R33" s="3" t="str">
        <f t="shared" si="6"/>
        <v>Yes</v>
      </c>
      <c r="S33" s="3" t="str">
        <f t="shared" si="7"/>
        <v>No</v>
      </c>
    </row>
    <row r="34" spans="1:19" x14ac:dyDescent="0.25">
      <c r="A34" s="7" t="s">
        <v>118</v>
      </c>
      <c r="B34" s="13">
        <v>1620</v>
      </c>
      <c r="C34" s="13">
        <v>2690</v>
      </c>
      <c r="D34" s="13" t="str">
        <f>IF(tblProducts[[#This Row],[Current Price]]="","Missing",IF(tblProducts[[#This Row],[Current Price]]&lt;=Price_Q1,"Low Price",IF(tblProducts[[#This Row],[Current Price]]&lt;=Price_Q3,"Medium Price","High Price")))</f>
        <v>Medium Price</v>
      </c>
      <c r="E34" s="8">
        <f t="shared" ref="E34:E65" si="8">C34-B34</f>
        <v>1070</v>
      </c>
      <c r="F34" s="17">
        <f t="shared" ref="F34:F65" si="9">((C34-B34)/C34)</f>
        <v>0.39776951672862454</v>
      </c>
      <c r="G34" s="17">
        <v>0.4</v>
      </c>
      <c r="H34" s="17" t="str">
        <f>IF(tblProducts[[#This Row],[Advertised Discount]]="","Missing",IF(tblProducts[[#This Row],[Advertised Discount]]&lt;20%,"Low Discount",IF(tblProducts[[#This Row],[Advertised Discount]]&lt;=40%,"Medium Discount","High Discount")))</f>
        <v>Medium Discount</v>
      </c>
      <c r="I34" s="17" t="str" cm="1">
        <f t="array" ref="I34">IF(OR(tblProducts[Advertised Discount]&lt;0%,tblProducts[Advertised Discount]&gt;100%),"Check rating","OK")</f>
        <v>OK</v>
      </c>
      <c r="J34" s="2">
        <v>1</v>
      </c>
      <c r="K34" s="9">
        <v>5</v>
      </c>
      <c r="L34" s="3" t="str">
        <f>IF(tblProducts[[#This Row],[Rating]]="","Missing",IF(tblProducts[[#This Row],[Rating]]&lt;3,"Poor",IF(tblProducts[[#This Row],[Rating]]&lt;=4.5,"Average","Excellent")))</f>
        <v>Excellent</v>
      </c>
      <c r="M34" s="3" t="str">
        <f>IF(OR(tblProducts[[#This Row],[Rating]]&lt;0,tblProducts[[#This Row],[Rating]]&gt;5),"Check rating","OK")</f>
        <v>OK</v>
      </c>
      <c r="N34" s="3" t="str">
        <f t="shared" ref="N34:N65" si="10">IF(AND(J34="",K34=""),"Missing rating and review",IF(J34="","Missing review",IF(K34="","Missing rating","Complete")))</f>
        <v>Complete</v>
      </c>
      <c r="O34" s="3" t="str">
        <f t="shared" ref="O34:O65" si="11">IF(J34=" ","Missing",IF(J34&gt;=Review_Q3,"Strong Engagement","Weak Engagement"))</f>
        <v>Weak Engagement</v>
      </c>
      <c r="P34" s="3" t="str">
        <f t="shared" ref="P34:P65" si="12">IF(OR(G34="",K34=""),"Missing",IF(AND(G34&gt;40%,K34&lt;3),"Yes","No"))</f>
        <v>No</v>
      </c>
      <c r="Q34" s="3" t="str">
        <f t="shared" ref="Q34:Q65" si="13">IF(OR(G34="",J34=""),"Missing",IF(AND(G34&gt;40%,J34&lt;Review_Q3),"Yes","No"))</f>
        <v>No</v>
      </c>
      <c r="R34" s="3" t="str">
        <f t="shared" ref="R34:R65" si="14">IF(OR(J34="",K34=""),"Missing",IF(AND(J34&gt;=Review_Q3,K34&gt;=3,K34&lt;=4.5),"Yes","No"))</f>
        <v>No</v>
      </c>
      <c r="S34" s="3" t="str">
        <f t="shared" ref="S34:S65" si="15">IF(OR(J34="",K34=""),"Missing",IF(AND(J34&gt;=Review_Q3,K34&gt;4.5),"Yes","No"))</f>
        <v>No</v>
      </c>
    </row>
    <row r="35" spans="1:19" x14ac:dyDescent="0.25">
      <c r="A35" s="7" t="s">
        <v>38</v>
      </c>
      <c r="B35" s="13">
        <v>1600</v>
      </c>
      <c r="C35" s="13">
        <v>2929</v>
      </c>
      <c r="D35" s="13" t="str">
        <f>IF(tblProducts[[#This Row],[Current Price]]="","Missing",IF(tblProducts[[#This Row],[Current Price]]&lt;=Price_Q1,"Low Price",IF(tblProducts[[#This Row],[Current Price]]&lt;=Price_Q3,"Medium Price","High Price")))</f>
        <v>Medium Price</v>
      </c>
      <c r="E35" s="8">
        <f t="shared" si="8"/>
        <v>1329</v>
      </c>
      <c r="F35" s="17">
        <f t="shared" si="9"/>
        <v>0.45373847729600547</v>
      </c>
      <c r="G35" s="17">
        <v>0.45</v>
      </c>
      <c r="H35" s="17" t="str">
        <f>IF(tblProducts[[#This Row],[Advertised Discount]]="","Missing",IF(tblProducts[[#This Row],[Advertised Discount]]&lt;20%,"Low Discount",IF(tblProducts[[#This Row],[Advertised Discount]]&lt;=40%,"Medium Discount","High Discount")))</f>
        <v>High Discount</v>
      </c>
      <c r="I35" s="17" t="str" cm="1">
        <f t="array" ref="I35">IF(OR(tblProducts[Advertised Discount]&lt;0%,tblProducts[Advertised Discount]&gt;100%),"Check rating","OK")</f>
        <v>OK</v>
      </c>
      <c r="J35" s="2">
        <v>5</v>
      </c>
      <c r="K35" s="9">
        <v>3.8</v>
      </c>
      <c r="L35" s="3" t="str">
        <f>IF(tblProducts[[#This Row],[Rating]]="","Missing",IF(tblProducts[[#This Row],[Rating]]&lt;3,"Poor",IF(tblProducts[[#This Row],[Rating]]&lt;=4.5,"Average","Excellent")))</f>
        <v>Average</v>
      </c>
      <c r="M35" s="3" t="str">
        <f>IF(OR(tblProducts[[#This Row],[Rating]]&lt;0,tblProducts[[#This Row],[Rating]]&gt;5),"Check rating","OK")</f>
        <v>OK</v>
      </c>
      <c r="N35" s="3" t="str">
        <f t="shared" si="10"/>
        <v>Complete</v>
      </c>
      <c r="O35" s="3" t="str">
        <f t="shared" si="11"/>
        <v>Weak Engagement</v>
      </c>
      <c r="P35" s="3" t="str">
        <f t="shared" si="12"/>
        <v>No</v>
      </c>
      <c r="Q35" s="3" t="str">
        <f t="shared" si="13"/>
        <v>Yes</v>
      </c>
      <c r="R35" s="3" t="str">
        <f t="shared" si="14"/>
        <v>No</v>
      </c>
      <c r="S35" s="3" t="str">
        <f t="shared" si="15"/>
        <v>No</v>
      </c>
    </row>
    <row r="36" spans="1:19" x14ac:dyDescent="0.25">
      <c r="A36" s="7" t="s">
        <v>18</v>
      </c>
      <c r="B36" s="13">
        <v>1580</v>
      </c>
      <c r="C36" s="13">
        <v>2499</v>
      </c>
      <c r="D36" s="13" t="str">
        <f>IF(tblProducts[[#This Row],[Current Price]]="","Missing",IF(tblProducts[[#This Row],[Current Price]]&lt;=Price_Q1,"Low Price",IF(tblProducts[[#This Row],[Current Price]]&lt;=Price_Q3,"Medium Price","High Price")))</f>
        <v>Medium Price</v>
      </c>
      <c r="E36" s="8">
        <f t="shared" si="8"/>
        <v>919</v>
      </c>
      <c r="F36" s="17">
        <f t="shared" si="9"/>
        <v>0.36774709883953582</v>
      </c>
      <c r="G36" s="17">
        <v>0.37</v>
      </c>
      <c r="H36" s="17" t="str">
        <f>IF(tblProducts[[#This Row],[Advertised Discount]]="","Missing",IF(tblProducts[[#This Row],[Advertised Discount]]&lt;20%,"Low Discount",IF(tblProducts[[#This Row],[Advertised Discount]]&lt;=40%,"Medium Discount","High Discount")))</f>
        <v>Medium Discount</v>
      </c>
      <c r="I36" s="17" t="str" cm="1">
        <f t="array" ref="I36">IF(OR(tblProducts[Advertised Discount]&lt;0%,tblProducts[Advertised Discount]&gt;100%),"Check rating","OK")</f>
        <v>OK</v>
      </c>
      <c r="J36" s="2">
        <v>7</v>
      </c>
      <c r="K36" s="9">
        <v>4.7</v>
      </c>
      <c r="L36" s="3" t="str">
        <f>IF(tblProducts[[#This Row],[Rating]]="","Missing",IF(tblProducts[[#This Row],[Rating]]&lt;3,"Poor",IF(tblProducts[[#This Row],[Rating]]&lt;=4.5,"Average","Excellent")))</f>
        <v>Excellent</v>
      </c>
      <c r="M36" s="3" t="str">
        <f>IF(OR(tblProducts[[#This Row],[Rating]]&lt;0,tblProducts[[#This Row],[Rating]]&gt;5),"Check rating","OK")</f>
        <v>OK</v>
      </c>
      <c r="N36" s="3" t="str">
        <f t="shared" si="10"/>
        <v>Complete</v>
      </c>
      <c r="O36" s="3" t="str">
        <f t="shared" si="11"/>
        <v>Weak Engagement</v>
      </c>
      <c r="P36" s="3" t="str">
        <f t="shared" si="12"/>
        <v>No</v>
      </c>
      <c r="Q36" s="3" t="str">
        <f t="shared" si="13"/>
        <v>No</v>
      </c>
      <c r="R36" s="3" t="str">
        <f t="shared" si="14"/>
        <v>No</v>
      </c>
      <c r="S36" s="3" t="str">
        <f t="shared" si="15"/>
        <v>No</v>
      </c>
    </row>
    <row r="37" spans="1:19" x14ac:dyDescent="0.25">
      <c r="A37" s="7" t="s">
        <v>230</v>
      </c>
      <c r="B37" s="13">
        <v>1570</v>
      </c>
      <c r="C37" s="13">
        <v>2988</v>
      </c>
      <c r="D37" s="13" t="str">
        <f>IF(tblProducts[[#This Row],[Current Price]]="","Missing",IF(tblProducts[[#This Row],[Current Price]]&lt;=Price_Q1,"Low Price",IF(tblProducts[[#This Row],[Current Price]]&lt;=Price_Q3,"Medium Price","High Price")))</f>
        <v>Medium Price</v>
      </c>
      <c r="E37" s="8">
        <f t="shared" si="8"/>
        <v>1418</v>
      </c>
      <c r="F37" s="17">
        <f t="shared" si="9"/>
        <v>0.4745649263721553</v>
      </c>
      <c r="G37" s="17">
        <v>0.47</v>
      </c>
      <c r="H37" s="17" t="str">
        <f>IF(tblProducts[[#This Row],[Advertised Discount]]="","Missing",IF(tblProducts[[#This Row],[Advertised Discount]]&lt;20%,"Low Discount",IF(tblProducts[[#This Row],[Advertised Discount]]&lt;=40%,"Medium Discount","High Discount")))</f>
        <v>High Discount</v>
      </c>
      <c r="I37" s="17" t="str" cm="1">
        <f t="array" ref="I37">IF(OR(tblProducts[Advertised Discount]&lt;0%,tblProducts[Advertised Discount]&gt;100%),"Check rating","OK")</f>
        <v>OK</v>
      </c>
      <c r="J37" s="2">
        <v>7</v>
      </c>
      <c r="K37" s="9">
        <v>2.1</v>
      </c>
      <c r="L37" s="3" t="str">
        <f>IF(tblProducts[[#This Row],[Rating]]="","Missing",IF(tblProducts[[#This Row],[Rating]]&lt;3,"Poor",IF(tblProducts[[#This Row],[Rating]]&lt;=4.5,"Average","Excellent")))</f>
        <v>Poor</v>
      </c>
      <c r="M37" s="3" t="str">
        <f>IF(OR(tblProducts[[#This Row],[Rating]]&lt;0,tblProducts[[#This Row],[Rating]]&gt;5),"Check rating","OK")</f>
        <v>OK</v>
      </c>
      <c r="N37" s="3" t="str">
        <f t="shared" si="10"/>
        <v>Complete</v>
      </c>
      <c r="O37" s="3" t="str">
        <f t="shared" si="11"/>
        <v>Weak Engagement</v>
      </c>
      <c r="P37" s="3" t="str">
        <f t="shared" si="12"/>
        <v>Yes</v>
      </c>
      <c r="Q37" s="3" t="str">
        <f t="shared" si="13"/>
        <v>Yes</v>
      </c>
      <c r="R37" s="3" t="str">
        <f t="shared" si="14"/>
        <v>No</v>
      </c>
      <c r="S37" s="3" t="str">
        <f t="shared" si="15"/>
        <v>No</v>
      </c>
    </row>
    <row r="38" spans="1:19" x14ac:dyDescent="0.25">
      <c r="A38" s="7" t="s">
        <v>281</v>
      </c>
      <c r="B38" s="13">
        <v>1526</v>
      </c>
      <c r="C38" s="13">
        <v>1660</v>
      </c>
      <c r="D38" s="13" t="str">
        <f>IF(tblProducts[[#This Row],[Current Price]]="","Missing",IF(tblProducts[[#This Row],[Current Price]]&lt;=Price_Q1,"Low Price",IF(tblProducts[[#This Row],[Current Price]]&lt;=Price_Q3,"Medium Price","High Price")))</f>
        <v>Medium Price</v>
      </c>
      <c r="E38" s="8">
        <f t="shared" si="8"/>
        <v>134</v>
      </c>
      <c r="F38" s="17">
        <f t="shared" si="9"/>
        <v>8.0722891566265054E-2</v>
      </c>
      <c r="G38" s="17">
        <v>0.08</v>
      </c>
      <c r="H38" s="17" t="str">
        <f>IF(tblProducts[[#This Row],[Advertised Discount]]="","Missing",IF(tblProducts[[#This Row],[Advertised Discount]]&lt;20%,"Low Discount",IF(tblProducts[[#This Row],[Advertised Discount]]&lt;=40%,"Medium Discount","High Discount")))</f>
        <v>Low Discount</v>
      </c>
      <c r="I38" s="17" t="str" cm="1">
        <f t="array" ref="I38">IF(OR(tblProducts[Advertised Discount]&lt;0%,tblProducts[Advertised Discount]&gt;100%),"Check rating","OK")</f>
        <v>OK</v>
      </c>
      <c r="J38" s="2"/>
      <c r="K38" s="9" t="s">
        <v>78</v>
      </c>
      <c r="L38" s="3" t="str">
        <f>IF(tblProducts[[#This Row],[Rating]]="","Missing",IF(tblProducts[[#This Row],[Rating]]&lt;3,"Poor",IF(tblProducts[[#This Row],[Rating]]&lt;=4.5,"Average","Excellent")))</f>
        <v>Missing</v>
      </c>
      <c r="M38" s="3" t="str">
        <f>IF(OR(tblProducts[[#This Row],[Rating]]&lt;0,tblProducts[[#This Row],[Rating]]&gt;5),"Check rating","OK")</f>
        <v>Check rating</v>
      </c>
      <c r="N38" s="3" t="str">
        <f t="shared" si="10"/>
        <v>Missing rating and review</v>
      </c>
      <c r="O38" s="3" t="str">
        <f t="shared" si="11"/>
        <v>Weak Engagement</v>
      </c>
      <c r="P38" s="3" t="str">
        <f t="shared" si="12"/>
        <v>Missing</v>
      </c>
      <c r="Q38" s="3" t="str">
        <f t="shared" si="13"/>
        <v>Missing</v>
      </c>
      <c r="R38" s="3" t="str">
        <f t="shared" si="14"/>
        <v>Missing</v>
      </c>
      <c r="S38" s="3" t="str">
        <f t="shared" si="15"/>
        <v>Missing</v>
      </c>
    </row>
    <row r="39" spans="1:19" x14ac:dyDescent="0.25">
      <c r="A39" s="7" t="s">
        <v>265</v>
      </c>
      <c r="B39" s="13">
        <v>1468</v>
      </c>
      <c r="C39" s="13">
        <v>1699</v>
      </c>
      <c r="D39" s="13" t="str">
        <f>IF(tblProducts[[#This Row],[Current Price]]="","Missing",IF(tblProducts[[#This Row],[Current Price]]&lt;=Price_Q1,"Low Price",IF(tblProducts[[#This Row],[Current Price]]&lt;=Price_Q3,"Medium Price","High Price")))</f>
        <v>Medium Price</v>
      </c>
      <c r="E39" s="8">
        <f t="shared" si="8"/>
        <v>231</v>
      </c>
      <c r="F39" s="17">
        <f t="shared" si="9"/>
        <v>0.13596233078281342</v>
      </c>
      <c r="G39" s="17">
        <v>0.14000000000000001</v>
      </c>
      <c r="H39" s="17" t="str">
        <f>IF(tblProducts[[#This Row],[Advertised Discount]]="","Missing",IF(tblProducts[[#This Row],[Advertised Discount]]&lt;20%,"Low Discount",IF(tblProducts[[#This Row],[Advertised Discount]]&lt;=40%,"Medium Discount","High Discount")))</f>
        <v>Low Discount</v>
      </c>
      <c r="I39" s="17" t="str" cm="1">
        <f t="array" ref="I39">IF(OR(tblProducts[Advertised Discount]&lt;0%,tblProducts[Advertised Discount]&gt;100%),"Check rating","OK")</f>
        <v>OK</v>
      </c>
      <c r="J39" s="2"/>
      <c r="K39" s="9" t="s">
        <v>78</v>
      </c>
      <c r="L39" s="3" t="str">
        <f>IF(tblProducts[[#This Row],[Rating]]="","Missing",IF(tblProducts[[#This Row],[Rating]]&lt;3,"Poor",IF(tblProducts[[#This Row],[Rating]]&lt;=4.5,"Average","Excellent")))</f>
        <v>Missing</v>
      </c>
      <c r="M39" s="3" t="str">
        <f>IF(OR(tblProducts[[#This Row],[Rating]]&lt;0,tblProducts[[#This Row],[Rating]]&gt;5),"Check rating","OK")</f>
        <v>Check rating</v>
      </c>
      <c r="N39" s="3" t="str">
        <f t="shared" si="10"/>
        <v>Missing rating and review</v>
      </c>
      <c r="O39" s="3" t="str">
        <f t="shared" si="11"/>
        <v>Weak Engagement</v>
      </c>
      <c r="P39" s="3" t="str">
        <f t="shared" si="12"/>
        <v>Missing</v>
      </c>
      <c r="Q39" s="3" t="str">
        <f t="shared" si="13"/>
        <v>Missing</v>
      </c>
      <c r="R39" s="3" t="str">
        <f t="shared" si="14"/>
        <v>Missing</v>
      </c>
      <c r="S39" s="3" t="str">
        <f t="shared" si="15"/>
        <v>Missing</v>
      </c>
    </row>
    <row r="40" spans="1:19" x14ac:dyDescent="0.25">
      <c r="A40" s="7" t="s">
        <v>257</v>
      </c>
      <c r="B40" s="13">
        <v>1466</v>
      </c>
      <c r="C40" s="13">
        <v>1699</v>
      </c>
      <c r="D40" s="13" t="str">
        <f>IF(tblProducts[[#This Row],[Current Price]]="","Missing",IF(tblProducts[[#This Row],[Current Price]]&lt;=Price_Q1,"Low Price",IF(tblProducts[[#This Row],[Current Price]]&lt;=Price_Q3,"Medium Price","High Price")))</f>
        <v>Medium Price</v>
      </c>
      <c r="E40" s="8">
        <f t="shared" si="8"/>
        <v>233</v>
      </c>
      <c r="F40" s="17">
        <f t="shared" si="9"/>
        <v>0.13713949381989404</v>
      </c>
      <c r="G40" s="17">
        <v>0.14000000000000001</v>
      </c>
      <c r="H40" s="17" t="str">
        <f>IF(tblProducts[[#This Row],[Advertised Discount]]="","Missing",IF(tblProducts[[#This Row],[Advertised Discount]]&lt;20%,"Low Discount",IF(tblProducts[[#This Row],[Advertised Discount]]&lt;=40%,"Medium Discount","High Discount")))</f>
        <v>Low Discount</v>
      </c>
      <c r="I40" s="17" t="str" cm="1">
        <f t="array" ref="I40">IF(OR(tblProducts[Advertised Discount]&lt;0%,tblProducts[Advertised Discount]&gt;100%),"Check rating","OK")</f>
        <v>OK</v>
      </c>
      <c r="J40" s="2"/>
      <c r="K40" s="9" t="s">
        <v>78</v>
      </c>
      <c r="L40" s="3" t="str">
        <f>IF(tblProducts[[#This Row],[Rating]]="","Missing",IF(tblProducts[[#This Row],[Rating]]&lt;3,"Poor",IF(tblProducts[[#This Row],[Rating]]&lt;=4.5,"Average","Excellent")))</f>
        <v>Missing</v>
      </c>
      <c r="M40" s="3" t="str">
        <f>IF(OR(tblProducts[[#This Row],[Rating]]&lt;0,tblProducts[[#This Row],[Rating]]&gt;5),"Check rating","OK")</f>
        <v>Check rating</v>
      </c>
      <c r="N40" s="3" t="str">
        <f t="shared" si="10"/>
        <v>Missing rating and review</v>
      </c>
      <c r="O40" s="3" t="str">
        <f t="shared" si="11"/>
        <v>Weak Engagement</v>
      </c>
      <c r="P40" s="3" t="str">
        <f t="shared" si="12"/>
        <v>Missing</v>
      </c>
      <c r="Q40" s="3" t="str">
        <f t="shared" si="13"/>
        <v>Missing</v>
      </c>
      <c r="R40" s="3" t="str">
        <f t="shared" si="14"/>
        <v>Missing</v>
      </c>
      <c r="S40" s="3" t="str">
        <f t="shared" si="15"/>
        <v>Missing</v>
      </c>
    </row>
    <row r="41" spans="1:19" x14ac:dyDescent="0.25">
      <c r="A41" s="7" t="s">
        <v>283</v>
      </c>
      <c r="B41" s="13">
        <v>1462</v>
      </c>
      <c r="C41" s="13">
        <v>1499</v>
      </c>
      <c r="D41" s="13" t="str">
        <f>IF(tblProducts[[#This Row],[Current Price]]="","Missing",IF(tblProducts[[#This Row],[Current Price]]&lt;=Price_Q1,"Low Price",IF(tblProducts[[#This Row],[Current Price]]&lt;=Price_Q3,"Medium Price","High Price")))</f>
        <v>Medium Price</v>
      </c>
      <c r="E41" s="8">
        <f t="shared" si="8"/>
        <v>37</v>
      </c>
      <c r="F41" s="17">
        <f t="shared" si="9"/>
        <v>2.4683122081387593E-2</v>
      </c>
      <c r="G41" s="17">
        <v>0.02</v>
      </c>
      <c r="H41" s="17" t="str">
        <f>IF(tblProducts[[#This Row],[Advertised Discount]]="","Missing",IF(tblProducts[[#This Row],[Advertised Discount]]&lt;20%,"Low Discount",IF(tblProducts[[#This Row],[Advertised Discount]]&lt;=40%,"Medium Discount","High Discount")))</f>
        <v>Low Discount</v>
      </c>
      <c r="I41" s="17" t="str" cm="1">
        <f t="array" ref="I41">IF(OR(tblProducts[Advertised Discount]&lt;0%,tblProducts[Advertised Discount]&gt;100%),"Check rating","OK")</f>
        <v>OK</v>
      </c>
      <c r="J41" s="2"/>
      <c r="K41" s="9" t="s">
        <v>78</v>
      </c>
      <c r="L41" s="3" t="str">
        <f>IF(tblProducts[[#This Row],[Rating]]="","Missing",IF(tblProducts[[#This Row],[Rating]]&lt;3,"Poor",IF(tblProducts[[#This Row],[Rating]]&lt;=4.5,"Average","Excellent")))</f>
        <v>Missing</v>
      </c>
      <c r="M41" s="3" t="str">
        <f>IF(OR(tblProducts[[#This Row],[Rating]]&lt;0,tblProducts[[#This Row],[Rating]]&gt;5),"Check rating","OK")</f>
        <v>Check rating</v>
      </c>
      <c r="N41" s="3" t="str">
        <f t="shared" si="10"/>
        <v>Missing rating and review</v>
      </c>
      <c r="O41" s="3" t="str">
        <f t="shared" si="11"/>
        <v>Weak Engagement</v>
      </c>
      <c r="P41" s="3" t="str">
        <f t="shared" si="12"/>
        <v>Missing</v>
      </c>
      <c r="Q41" s="3" t="str">
        <f t="shared" si="13"/>
        <v>Missing</v>
      </c>
      <c r="R41" s="3" t="str">
        <f t="shared" si="14"/>
        <v>Missing</v>
      </c>
      <c r="S41" s="3" t="str">
        <f t="shared" si="15"/>
        <v>Missing</v>
      </c>
    </row>
    <row r="42" spans="1:19" x14ac:dyDescent="0.25">
      <c r="A42" s="7" t="s">
        <v>249</v>
      </c>
      <c r="B42" s="13">
        <v>1460</v>
      </c>
      <c r="C42" s="13">
        <v>2290</v>
      </c>
      <c r="D42" s="13" t="str">
        <f>IF(tblProducts[[#This Row],[Current Price]]="","Missing",IF(tblProducts[[#This Row],[Current Price]]&lt;=Price_Q1,"Low Price",IF(tblProducts[[#This Row],[Current Price]]&lt;=Price_Q3,"Medium Price","High Price")))</f>
        <v>Medium Price</v>
      </c>
      <c r="E42" s="8">
        <f t="shared" si="8"/>
        <v>830</v>
      </c>
      <c r="F42" s="17">
        <f t="shared" si="9"/>
        <v>0.36244541484716158</v>
      </c>
      <c r="G42" s="17">
        <v>0.36</v>
      </c>
      <c r="H42" s="17" t="str">
        <f>IF(tblProducts[[#This Row],[Advertised Discount]]="","Missing",IF(tblProducts[[#This Row],[Advertised Discount]]&lt;20%,"Low Discount",IF(tblProducts[[#This Row],[Advertised Discount]]&lt;=40%,"Medium Discount","High Discount")))</f>
        <v>Medium Discount</v>
      </c>
      <c r="I42" s="17" t="str" cm="1">
        <f t="array" ref="I42">IF(OR(tblProducts[Advertised Discount]&lt;0%,tblProducts[Advertised Discount]&gt;100%),"Check rating","OK")</f>
        <v>OK</v>
      </c>
      <c r="J42" s="2"/>
      <c r="K42" s="9" t="s">
        <v>78</v>
      </c>
      <c r="L42" s="3" t="str">
        <f>IF(tblProducts[[#This Row],[Rating]]="","Missing",IF(tblProducts[[#This Row],[Rating]]&lt;3,"Poor",IF(tblProducts[[#This Row],[Rating]]&lt;=4.5,"Average","Excellent")))</f>
        <v>Missing</v>
      </c>
      <c r="M42" s="3" t="str">
        <f>IF(OR(tblProducts[[#This Row],[Rating]]&lt;0,tblProducts[[#This Row],[Rating]]&gt;5),"Check rating","OK")</f>
        <v>Check rating</v>
      </c>
      <c r="N42" s="3" t="str">
        <f t="shared" si="10"/>
        <v>Missing rating and review</v>
      </c>
      <c r="O42" s="3" t="str">
        <f t="shared" si="11"/>
        <v>Weak Engagement</v>
      </c>
      <c r="P42" s="3" t="str">
        <f t="shared" si="12"/>
        <v>Missing</v>
      </c>
      <c r="Q42" s="3" t="str">
        <f t="shared" si="13"/>
        <v>Missing</v>
      </c>
      <c r="R42" s="3" t="str">
        <f t="shared" si="14"/>
        <v>Missing</v>
      </c>
      <c r="S42" s="3" t="str">
        <f t="shared" si="15"/>
        <v>Missing</v>
      </c>
    </row>
    <row r="43" spans="1:19" x14ac:dyDescent="0.25">
      <c r="A43" s="7" t="s">
        <v>166</v>
      </c>
      <c r="B43" s="13">
        <v>1459</v>
      </c>
      <c r="C43" s="13">
        <v>1499</v>
      </c>
      <c r="D43" s="13" t="str">
        <f>IF(tblProducts[[#This Row],[Current Price]]="","Missing",IF(tblProducts[[#This Row],[Current Price]]&lt;=Price_Q1,"Low Price",IF(tblProducts[[#This Row],[Current Price]]&lt;=Price_Q3,"Medium Price","High Price")))</f>
        <v>Medium Price</v>
      </c>
      <c r="E43" s="8">
        <f t="shared" si="8"/>
        <v>40</v>
      </c>
      <c r="F43" s="17">
        <f t="shared" si="9"/>
        <v>2.6684456304202801E-2</v>
      </c>
      <c r="G43" s="17">
        <v>0.03</v>
      </c>
      <c r="H43" s="17" t="str">
        <f>IF(tblProducts[[#This Row],[Advertised Discount]]="","Missing",IF(tblProducts[[#This Row],[Advertised Discount]]&lt;20%,"Low Discount",IF(tblProducts[[#This Row],[Advertised Discount]]&lt;=40%,"Medium Discount","High Discount")))</f>
        <v>Low Discount</v>
      </c>
      <c r="I43" s="17" t="str" cm="1">
        <f t="array" ref="I43">IF(OR(tblProducts[Advertised Discount]&lt;0%,tblProducts[Advertised Discount]&gt;100%),"Check rating","OK")</f>
        <v>OK</v>
      </c>
      <c r="J43" s="2"/>
      <c r="K43" s="9" t="s">
        <v>78</v>
      </c>
      <c r="L43" s="3" t="str">
        <f>IF(tblProducts[[#This Row],[Rating]]="","Missing",IF(tblProducts[[#This Row],[Rating]]&lt;3,"Poor",IF(tblProducts[[#This Row],[Rating]]&lt;=4.5,"Average","Excellent")))</f>
        <v>Missing</v>
      </c>
      <c r="M43" s="3" t="str">
        <f>IF(OR(tblProducts[[#This Row],[Rating]]&lt;0,tblProducts[[#This Row],[Rating]]&gt;5),"Check rating","OK")</f>
        <v>Check rating</v>
      </c>
      <c r="N43" s="3" t="str">
        <f t="shared" si="10"/>
        <v>Missing rating and review</v>
      </c>
      <c r="O43" s="3" t="str">
        <f t="shared" si="11"/>
        <v>Weak Engagement</v>
      </c>
      <c r="P43" s="3" t="str">
        <f t="shared" si="12"/>
        <v>Missing</v>
      </c>
      <c r="Q43" s="3" t="str">
        <f t="shared" si="13"/>
        <v>Missing</v>
      </c>
      <c r="R43" s="3" t="str">
        <f t="shared" si="14"/>
        <v>Missing</v>
      </c>
      <c r="S43" s="3" t="str">
        <f t="shared" si="15"/>
        <v>Missing</v>
      </c>
    </row>
    <row r="44" spans="1:19" x14ac:dyDescent="0.25">
      <c r="A44" s="7" t="s">
        <v>299</v>
      </c>
      <c r="B44" s="13">
        <v>1420</v>
      </c>
      <c r="C44" s="13">
        <v>2420</v>
      </c>
      <c r="D44" s="13" t="str">
        <f>IF(tblProducts[[#This Row],[Current Price]]="","Missing",IF(tblProducts[[#This Row],[Current Price]]&lt;=Price_Q1,"Low Price",IF(tblProducts[[#This Row],[Current Price]]&lt;=Price_Q3,"Medium Price","High Price")))</f>
        <v>Medium Price</v>
      </c>
      <c r="E44" s="8">
        <f t="shared" si="8"/>
        <v>1000</v>
      </c>
      <c r="F44" s="17">
        <f t="shared" si="9"/>
        <v>0.41322314049586778</v>
      </c>
      <c r="G44" s="17">
        <v>0.41</v>
      </c>
      <c r="H44" s="17" t="str">
        <f>IF(tblProducts[[#This Row],[Advertised Discount]]="","Missing",IF(tblProducts[[#This Row],[Advertised Discount]]&lt;20%,"Low Discount",IF(tblProducts[[#This Row],[Advertised Discount]]&lt;=40%,"Medium Discount","High Discount")))</f>
        <v>High Discount</v>
      </c>
      <c r="I44" s="17" t="str" cm="1">
        <f t="array" ref="I44">IF(OR(tblProducts[Advertised Discount]&lt;0%,tblProducts[Advertised Discount]&gt;100%),"Check rating","OK")</f>
        <v>OK</v>
      </c>
      <c r="J44" s="2"/>
      <c r="K44" s="9" t="s">
        <v>78</v>
      </c>
      <c r="L44" s="3" t="str">
        <f>IF(tblProducts[[#This Row],[Rating]]="","Missing",IF(tblProducts[[#This Row],[Rating]]&lt;3,"Poor",IF(tblProducts[[#This Row],[Rating]]&lt;=4.5,"Average","Excellent")))</f>
        <v>Missing</v>
      </c>
      <c r="M44" s="3" t="str">
        <f>IF(OR(tblProducts[[#This Row],[Rating]]&lt;0,tblProducts[[#This Row],[Rating]]&gt;5),"Check rating","OK")</f>
        <v>Check rating</v>
      </c>
      <c r="N44" s="3" t="str">
        <f t="shared" si="10"/>
        <v>Missing rating and review</v>
      </c>
      <c r="O44" s="3" t="str">
        <f t="shared" si="11"/>
        <v>Weak Engagement</v>
      </c>
      <c r="P44" s="3" t="str">
        <f t="shared" si="12"/>
        <v>Missing</v>
      </c>
      <c r="Q44" s="3" t="str">
        <f t="shared" si="13"/>
        <v>Missing</v>
      </c>
      <c r="R44" s="3" t="str">
        <f t="shared" si="14"/>
        <v>Missing</v>
      </c>
      <c r="S44" s="3" t="str">
        <f t="shared" si="15"/>
        <v>Missing</v>
      </c>
    </row>
    <row r="45" spans="1:19" x14ac:dyDescent="0.25">
      <c r="A45" s="7" t="s">
        <v>96</v>
      </c>
      <c r="B45" s="13">
        <v>1350</v>
      </c>
      <c r="C45" s="13">
        <v>1990</v>
      </c>
      <c r="D45" s="13" t="str">
        <f>IF(tblProducts[[#This Row],[Current Price]]="","Missing",IF(tblProducts[[#This Row],[Current Price]]&lt;=Price_Q1,"Low Price",IF(tblProducts[[#This Row],[Current Price]]&lt;=Price_Q3,"Medium Price","High Price")))</f>
        <v>Medium Price</v>
      </c>
      <c r="E45" s="8">
        <f t="shared" si="8"/>
        <v>640</v>
      </c>
      <c r="F45" s="17">
        <f t="shared" si="9"/>
        <v>0.32160804020100503</v>
      </c>
      <c r="G45" s="17">
        <v>0.32</v>
      </c>
      <c r="H45" s="17" t="str">
        <f>IF(tblProducts[[#This Row],[Advertised Discount]]="","Missing",IF(tblProducts[[#This Row],[Advertised Discount]]&lt;20%,"Low Discount",IF(tblProducts[[#This Row],[Advertised Discount]]&lt;=40%,"Medium Discount","High Discount")))</f>
        <v>Medium Discount</v>
      </c>
      <c r="I45" s="17" t="str" cm="1">
        <f t="array" ref="I45">IF(OR(tblProducts[Advertised Discount]&lt;0%,tblProducts[Advertised Discount]&gt;100%),"Check rating","OK")</f>
        <v>OK</v>
      </c>
      <c r="J45" s="2">
        <v>13</v>
      </c>
      <c r="K45" s="9">
        <v>3.8</v>
      </c>
      <c r="L45" s="3" t="str">
        <f>IF(tblProducts[[#This Row],[Rating]]="","Missing",IF(tblProducts[[#This Row],[Rating]]&lt;3,"Poor",IF(tblProducts[[#This Row],[Rating]]&lt;=4.5,"Average","Excellent")))</f>
        <v>Average</v>
      </c>
      <c r="M45" s="3" t="str">
        <f>IF(OR(tblProducts[[#This Row],[Rating]]&lt;0,tblProducts[[#This Row],[Rating]]&gt;5),"Check rating","OK")</f>
        <v>OK</v>
      </c>
      <c r="N45" s="3" t="str">
        <f t="shared" si="10"/>
        <v>Complete</v>
      </c>
      <c r="O45" s="3" t="str">
        <f t="shared" si="11"/>
        <v>Strong Engagement</v>
      </c>
      <c r="P45" s="3" t="str">
        <f t="shared" si="12"/>
        <v>No</v>
      </c>
      <c r="Q45" s="3" t="str">
        <f t="shared" si="13"/>
        <v>No</v>
      </c>
      <c r="R45" s="3" t="str">
        <f t="shared" si="14"/>
        <v>Yes</v>
      </c>
      <c r="S45" s="3" t="str">
        <f t="shared" si="15"/>
        <v>No</v>
      </c>
    </row>
    <row r="46" spans="1:19" x14ac:dyDescent="0.25">
      <c r="A46" s="7" t="s">
        <v>273</v>
      </c>
      <c r="B46" s="13">
        <v>1300</v>
      </c>
      <c r="C46" s="13">
        <v>2500</v>
      </c>
      <c r="D46" s="13" t="str">
        <f>IF(tblProducts[[#This Row],[Current Price]]="","Missing",IF(tblProducts[[#This Row],[Current Price]]&lt;=Price_Q1,"Low Price",IF(tblProducts[[#This Row],[Current Price]]&lt;=Price_Q3,"Medium Price","High Price")))</f>
        <v>Medium Price</v>
      </c>
      <c r="E46" s="8">
        <f t="shared" si="8"/>
        <v>1200</v>
      </c>
      <c r="F46" s="17">
        <f t="shared" si="9"/>
        <v>0.48</v>
      </c>
      <c r="G46" s="17">
        <v>0.48</v>
      </c>
      <c r="H46" s="17" t="str">
        <f>IF(tblProducts[[#This Row],[Advertised Discount]]="","Missing",IF(tblProducts[[#This Row],[Advertised Discount]]&lt;20%,"Low Discount",IF(tblProducts[[#This Row],[Advertised Discount]]&lt;=40%,"Medium Discount","High Discount")))</f>
        <v>High Discount</v>
      </c>
      <c r="I46" s="17" t="str" cm="1">
        <f t="array" ref="I46">IF(OR(tblProducts[Advertised Discount]&lt;0%,tblProducts[Advertised Discount]&gt;100%),"Check rating","OK")</f>
        <v>OK</v>
      </c>
      <c r="J46" s="2"/>
      <c r="K46" s="9" t="s">
        <v>78</v>
      </c>
      <c r="L46" s="3" t="str">
        <f>IF(tblProducts[[#This Row],[Rating]]="","Missing",IF(tblProducts[[#This Row],[Rating]]&lt;3,"Poor",IF(tblProducts[[#This Row],[Rating]]&lt;=4.5,"Average","Excellent")))</f>
        <v>Missing</v>
      </c>
      <c r="M46" s="3" t="str">
        <f>IF(OR(tblProducts[[#This Row],[Rating]]&lt;0,tblProducts[[#This Row],[Rating]]&gt;5),"Check rating","OK")</f>
        <v>Check rating</v>
      </c>
      <c r="N46" s="3" t="str">
        <f t="shared" si="10"/>
        <v>Missing rating and review</v>
      </c>
      <c r="O46" s="3" t="str">
        <f t="shared" si="11"/>
        <v>Weak Engagement</v>
      </c>
      <c r="P46" s="3" t="str">
        <f t="shared" si="12"/>
        <v>Missing</v>
      </c>
      <c r="Q46" s="3" t="str">
        <f t="shared" si="13"/>
        <v>Missing</v>
      </c>
      <c r="R46" s="3" t="str">
        <f t="shared" si="14"/>
        <v>Missing</v>
      </c>
      <c r="S46" s="3" t="str">
        <f t="shared" si="15"/>
        <v>Missing</v>
      </c>
    </row>
    <row r="47" spans="1:19" x14ac:dyDescent="0.25">
      <c r="A47" s="7" t="s">
        <v>35</v>
      </c>
      <c r="B47" s="13">
        <v>1274</v>
      </c>
      <c r="C47" s="13">
        <v>2800</v>
      </c>
      <c r="D47" s="13" t="str">
        <f>IF(tblProducts[[#This Row],[Current Price]]="","Missing",IF(tblProducts[[#This Row],[Current Price]]&lt;=Price_Q1,"Low Price",IF(tblProducts[[#This Row],[Current Price]]&lt;=Price_Q3,"Medium Price","High Price")))</f>
        <v>Medium Price</v>
      </c>
      <c r="E47" s="8">
        <f t="shared" si="8"/>
        <v>1526</v>
      </c>
      <c r="F47" s="17">
        <f t="shared" si="9"/>
        <v>0.54500000000000004</v>
      </c>
      <c r="G47" s="17">
        <v>0.55000000000000004</v>
      </c>
      <c r="H47" s="17" t="str">
        <f>IF(tblProducts[[#This Row],[Advertised Discount]]="","Missing",IF(tblProducts[[#This Row],[Advertised Discount]]&lt;20%,"Low Discount",IF(tblProducts[[#This Row],[Advertised Discount]]&lt;=40%,"Medium Discount","High Discount")))</f>
        <v>High Discount</v>
      </c>
      <c r="I47" s="17" t="str" cm="1">
        <f t="array" ref="I47">IF(OR(tblProducts[Advertised Discount]&lt;0%,tblProducts[Advertised Discount]&gt;100%),"Check rating","OK")</f>
        <v>OK</v>
      </c>
      <c r="J47" s="2">
        <v>5</v>
      </c>
      <c r="K47" s="9">
        <v>4.8</v>
      </c>
      <c r="L47" s="3" t="str">
        <f>IF(tblProducts[[#This Row],[Rating]]="","Missing",IF(tblProducts[[#This Row],[Rating]]&lt;3,"Poor",IF(tblProducts[[#This Row],[Rating]]&lt;=4.5,"Average","Excellent")))</f>
        <v>Excellent</v>
      </c>
      <c r="M47" s="3" t="str">
        <f>IF(OR(tblProducts[[#This Row],[Rating]]&lt;0,tblProducts[[#This Row],[Rating]]&gt;5),"Check rating","OK")</f>
        <v>OK</v>
      </c>
      <c r="N47" s="3" t="str">
        <f t="shared" si="10"/>
        <v>Complete</v>
      </c>
      <c r="O47" s="3" t="str">
        <f t="shared" si="11"/>
        <v>Weak Engagement</v>
      </c>
      <c r="P47" s="3" t="str">
        <f t="shared" si="12"/>
        <v>No</v>
      </c>
      <c r="Q47" s="3" t="str">
        <f t="shared" si="13"/>
        <v>Yes</v>
      </c>
      <c r="R47" s="3" t="str">
        <f t="shared" si="14"/>
        <v>No</v>
      </c>
      <c r="S47" s="3" t="str">
        <f t="shared" si="15"/>
        <v>No</v>
      </c>
    </row>
    <row r="48" spans="1:19" x14ac:dyDescent="0.25">
      <c r="A48" s="7" t="s">
        <v>203</v>
      </c>
      <c r="B48" s="13">
        <v>1220</v>
      </c>
      <c r="C48" s="13">
        <v>1555</v>
      </c>
      <c r="D48" s="13" t="str">
        <f>IF(tblProducts[[#This Row],[Current Price]]="","Missing",IF(tblProducts[[#This Row],[Current Price]]&lt;=Price_Q1,"Low Price",IF(tblProducts[[#This Row],[Current Price]]&lt;=Price_Q3,"Medium Price","High Price")))</f>
        <v>Medium Price</v>
      </c>
      <c r="E48" s="8">
        <f t="shared" si="8"/>
        <v>335</v>
      </c>
      <c r="F48" s="17">
        <f t="shared" si="9"/>
        <v>0.21543408360128619</v>
      </c>
      <c r="G48" s="17">
        <v>0.22</v>
      </c>
      <c r="H48" s="17" t="str">
        <f>IF(tblProducts[[#This Row],[Advertised Discount]]="","Missing",IF(tblProducts[[#This Row],[Advertised Discount]]&lt;20%,"Low Discount",IF(tblProducts[[#This Row],[Advertised Discount]]&lt;=40%,"Medium Discount","High Discount")))</f>
        <v>Medium Discount</v>
      </c>
      <c r="I48" s="17" t="str" cm="1">
        <f t="array" ref="I48">IF(OR(tblProducts[Advertised Discount]&lt;0%,tblProducts[Advertised Discount]&gt;100%),"Check rating","OK")</f>
        <v>OK</v>
      </c>
      <c r="J48" s="2">
        <v>16</v>
      </c>
      <c r="K48" s="9">
        <v>2.9</v>
      </c>
      <c r="L48" s="3" t="str">
        <f>IF(tblProducts[[#This Row],[Rating]]="","Missing",IF(tblProducts[[#This Row],[Rating]]&lt;3,"Poor",IF(tblProducts[[#This Row],[Rating]]&lt;=4.5,"Average","Excellent")))</f>
        <v>Poor</v>
      </c>
      <c r="M48" s="3" t="str">
        <f>IF(OR(tblProducts[[#This Row],[Rating]]&lt;0,tblProducts[[#This Row],[Rating]]&gt;5),"Check rating","OK")</f>
        <v>OK</v>
      </c>
      <c r="N48" s="3" t="str">
        <f t="shared" si="10"/>
        <v>Complete</v>
      </c>
      <c r="O48" s="3" t="str">
        <f t="shared" si="11"/>
        <v>Strong Engagement</v>
      </c>
      <c r="P48" s="3" t="str">
        <f t="shared" si="12"/>
        <v>No</v>
      </c>
      <c r="Q48" s="3" t="str">
        <f t="shared" si="13"/>
        <v>No</v>
      </c>
      <c r="R48" s="3" t="str">
        <f t="shared" si="14"/>
        <v>No</v>
      </c>
      <c r="S48" s="3" t="str">
        <f t="shared" si="15"/>
        <v>No</v>
      </c>
    </row>
    <row r="49" spans="1:19" x14ac:dyDescent="0.25">
      <c r="A49" s="7" t="s">
        <v>152</v>
      </c>
      <c r="B49" s="13">
        <v>1200</v>
      </c>
      <c r="C49" s="13">
        <v>1950</v>
      </c>
      <c r="D49" s="13" t="str">
        <f>IF(tblProducts[[#This Row],[Current Price]]="","Missing",IF(tblProducts[[#This Row],[Current Price]]&lt;=Price_Q1,"Low Price",IF(tblProducts[[#This Row],[Current Price]]&lt;=Price_Q3,"Medium Price","High Price")))</f>
        <v>Medium Price</v>
      </c>
      <c r="E49" s="8">
        <f t="shared" si="8"/>
        <v>750</v>
      </c>
      <c r="F49" s="17">
        <f t="shared" si="9"/>
        <v>0.38461538461538464</v>
      </c>
      <c r="G49" s="17">
        <v>0.38</v>
      </c>
      <c r="H49" s="17" t="str">
        <f>IF(tblProducts[[#This Row],[Advertised Discount]]="","Missing",IF(tblProducts[[#This Row],[Advertised Discount]]&lt;20%,"Low Discount",IF(tblProducts[[#This Row],[Advertised Discount]]&lt;=40%,"Medium Discount","High Discount")))</f>
        <v>Medium Discount</v>
      </c>
      <c r="I49" s="17" t="str" cm="1">
        <f t="array" ref="I49">IF(OR(tblProducts[Advertised Discount]&lt;0%,tblProducts[Advertised Discount]&gt;100%),"Check rating","OK")</f>
        <v>OK</v>
      </c>
      <c r="J49" s="2"/>
      <c r="K49" s="9" t="s">
        <v>78</v>
      </c>
      <c r="L49" s="3" t="str">
        <f>IF(tblProducts[[#This Row],[Rating]]="","Missing",IF(tblProducts[[#This Row],[Rating]]&lt;3,"Poor",IF(tblProducts[[#This Row],[Rating]]&lt;=4.5,"Average","Excellent")))</f>
        <v>Missing</v>
      </c>
      <c r="M49" s="3" t="str">
        <f>IF(OR(tblProducts[[#This Row],[Rating]]&lt;0,tblProducts[[#This Row],[Rating]]&gt;5),"Check rating","OK")</f>
        <v>Check rating</v>
      </c>
      <c r="N49" s="3" t="str">
        <f t="shared" si="10"/>
        <v>Missing rating and review</v>
      </c>
      <c r="O49" s="3" t="str">
        <f t="shared" si="11"/>
        <v>Weak Engagement</v>
      </c>
      <c r="P49" s="3" t="str">
        <f t="shared" si="12"/>
        <v>Missing</v>
      </c>
      <c r="Q49" s="3" t="str">
        <f t="shared" si="13"/>
        <v>Missing</v>
      </c>
      <c r="R49" s="3" t="str">
        <f t="shared" si="14"/>
        <v>Missing</v>
      </c>
      <c r="S49" s="3" t="str">
        <f t="shared" si="15"/>
        <v>Missing</v>
      </c>
    </row>
    <row r="50" spans="1:19" x14ac:dyDescent="0.25">
      <c r="A50" s="7" t="s">
        <v>279</v>
      </c>
      <c r="B50" s="13">
        <v>1200</v>
      </c>
      <c r="C50" s="13">
        <v>2400</v>
      </c>
      <c r="D50" s="13" t="str">
        <f>IF(tblProducts[[#This Row],[Current Price]]="","Missing",IF(tblProducts[[#This Row],[Current Price]]&lt;=Price_Q1,"Low Price",IF(tblProducts[[#This Row],[Current Price]]&lt;=Price_Q3,"Medium Price","High Price")))</f>
        <v>Medium Price</v>
      </c>
      <c r="E50" s="8">
        <f t="shared" si="8"/>
        <v>1200</v>
      </c>
      <c r="F50" s="17">
        <f t="shared" si="9"/>
        <v>0.5</v>
      </c>
      <c r="G50" s="17">
        <v>0.5</v>
      </c>
      <c r="H50" s="17" t="str">
        <f>IF(tblProducts[[#This Row],[Advertised Discount]]="","Missing",IF(tblProducts[[#This Row],[Advertised Discount]]&lt;20%,"Low Discount",IF(tblProducts[[#This Row],[Advertised Discount]]&lt;=40%,"Medium Discount","High Discount")))</f>
        <v>High Discount</v>
      </c>
      <c r="I50" s="17" t="str" cm="1">
        <f t="array" ref="I50">IF(OR(tblProducts[Advertised Discount]&lt;0%,tblProducts[Advertised Discount]&gt;100%),"Check rating","OK")</f>
        <v>OK</v>
      </c>
      <c r="J50" s="2"/>
      <c r="K50" s="9" t="s">
        <v>78</v>
      </c>
      <c r="L50" s="3" t="str">
        <f>IF(tblProducts[[#This Row],[Rating]]="","Missing",IF(tblProducts[[#This Row],[Rating]]&lt;3,"Poor",IF(tblProducts[[#This Row],[Rating]]&lt;=4.5,"Average","Excellent")))</f>
        <v>Missing</v>
      </c>
      <c r="M50" s="3" t="str">
        <f>IF(OR(tblProducts[[#This Row],[Rating]]&lt;0,tblProducts[[#This Row],[Rating]]&gt;5),"Check rating","OK")</f>
        <v>Check rating</v>
      </c>
      <c r="N50" s="3" t="str">
        <f t="shared" si="10"/>
        <v>Missing rating and review</v>
      </c>
      <c r="O50" s="3" t="str">
        <f t="shared" si="11"/>
        <v>Weak Engagement</v>
      </c>
      <c r="P50" s="3" t="str">
        <f t="shared" si="12"/>
        <v>Missing</v>
      </c>
      <c r="Q50" s="3" t="str">
        <f t="shared" si="13"/>
        <v>Missing</v>
      </c>
      <c r="R50" s="3" t="str">
        <f t="shared" si="14"/>
        <v>Missing</v>
      </c>
      <c r="S50" s="3" t="str">
        <f t="shared" si="15"/>
        <v>Missing</v>
      </c>
    </row>
    <row r="51" spans="1:19" x14ac:dyDescent="0.25">
      <c r="A51" s="7" t="s">
        <v>146</v>
      </c>
      <c r="B51" s="13">
        <v>1190</v>
      </c>
      <c r="C51" s="13">
        <v>1785</v>
      </c>
      <c r="D51" s="13" t="str">
        <f>IF(tblProducts[[#This Row],[Current Price]]="","Missing",IF(tblProducts[[#This Row],[Current Price]]&lt;=Price_Q1,"Low Price",IF(tblProducts[[#This Row],[Current Price]]&lt;=Price_Q3,"Medium Price","High Price")))</f>
        <v>Medium Price</v>
      </c>
      <c r="E51" s="8">
        <f t="shared" si="8"/>
        <v>595</v>
      </c>
      <c r="F51" s="17">
        <f t="shared" si="9"/>
        <v>0.33333333333333331</v>
      </c>
      <c r="G51" s="17">
        <v>0.33</v>
      </c>
      <c r="H51" s="17" t="str">
        <f>IF(tblProducts[[#This Row],[Advertised Discount]]="","Missing",IF(tblProducts[[#This Row],[Advertised Discount]]&lt;20%,"Low Discount",IF(tblProducts[[#This Row],[Advertised Discount]]&lt;=40%,"Medium Discount","High Discount")))</f>
        <v>Medium Discount</v>
      </c>
      <c r="I51" s="17" t="str" cm="1">
        <f t="array" ref="I51">IF(OR(tblProducts[Advertised Discount]&lt;0%,tblProducts[Advertised Discount]&gt;100%),"Check rating","OK")</f>
        <v>OK</v>
      </c>
      <c r="J51" s="2"/>
      <c r="K51" s="9" t="s">
        <v>78</v>
      </c>
      <c r="L51" s="3" t="str">
        <f>IF(tblProducts[[#This Row],[Rating]]="","Missing",IF(tblProducts[[#This Row],[Rating]]&lt;3,"Poor",IF(tblProducts[[#This Row],[Rating]]&lt;=4.5,"Average","Excellent")))</f>
        <v>Missing</v>
      </c>
      <c r="M51" s="3" t="str">
        <f>IF(OR(tblProducts[[#This Row],[Rating]]&lt;0,tblProducts[[#This Row],[Rating]]&gt;5),"Check rating","OK")</f>
        <v>Check rating</v>
      </c>
      <c r="N51" s="3" t="str">
        <f t="shared" si="10"/>
        <v>Missing rating and review</v>
      </c>
      <c r="O51" s="3" t="str">
        <f t="shared" si="11"/>
        <v>Weak Engagement</v>
      </c>
      <c r="P51" s="3" t="str">
        <f t="shared" si="12"/>
        <v>Missing</v>
      </c>
      <c r="Q51" s="3" t="str">
        <f t="shared" si="13"/>
        <v>Missing</v>
      </c>
      <c r="R51" s="3" t="str">
        <f t="shared" si="14"/>
        <v>Missing</v>
      </c>
      <c r="S51" s="3" t="str">
        <f t="shared" si="15"/>
        <v>Missing</v>
      </c>
    </row>
    <row r="52" spans="1:19" x14ac:dyDescent="0.25">
      <c r="A52" s="7" t="s">
        <v>311</v>
      </c>
      <c r="B52" s="13">
        <v>1190</v>
      </c>
      <c r="C52" s="13">
        <v>1810</v>
      </c>
      <c r="D52" s="13" t="str">
        <f>IF(tblProducts[[#This Row],[Current Price]]="","Missing",IF(tblProducts[[#This Row],[Current Price]]&lt;=Price_Q1,"Low Price",IF(tblProducts[[#This Row],[Current Price]]&lt;=Price_Q3,"Medium Price","High Price")))</f>
        <v>Medium Price</v>
      </c>
      <c r="E52" s="8">
        <f t="shared" si="8"/>
        <v>620</v>
      </c>
      <c r="F52" s="17">
        <f t="shared" si="9"/>
        <v>0.34254143646408841</v>
      </c>
      <c r="G52" s="17">
        <v>0.34</v>
      </c>
      <c r="H52" s="17" t="str">
        <f>IF(tblProducts[[#This Row],[Advertised Discount]]="","Missing",IF(tblProducts[[#This Row],[Advertised Discount]]&lt;20%,"Low Discount",IF(tblProducts[[#This Row],[Advertised Discount]]&lt;=40%,"Medium Discount","High Discount")))</f>
        <v>Medium Discount</v>
      </c>
      <c r="I52" s="17" t="str" cm="1">
        <f t="array" ref="I52">IF(OR(tblProducts[Advertised Discount]&lt;0%,tblProducts[Advertised Discount]&gt;100%),"Check rating","OK")</f>
        <v>OK</v>
      </c>
      <c r="J52" s="2"/>
      <c r="K52" s="9" t="s">
        <v>78</v>
      </c>
      <c r="L52" s="3" t="str">
        <f>IF(tblProducts[[#This Row],[Rating]]="","Missing",IF(tblProducts[[#This Row],[Rating]]&lt;3,"Poor",IF(tblProducts[[#This Row],[Rating]]&lt;=4.5,"Average","Excellent")))</f>
        <v>Missing</v>
      </c>
      <c r="M52" s="3" t="str">
        <f>IF(OR(tblProducts[[#This Row],[Rating]]&lt;0,tblProducts[[#This Row],[Rating]]&gt;5),"Check rating","OK")</f>
        <v>Check rating</v>
      </c>
      <c r="N52" s="3" t="str">
        <f t="shared" si="10"/>
        <v>Missing rating and review</v>
      </c>
      <c r="O52" s="3" t="str">
        <f t="shared" si="11"/>
        <v>Weak Engagement</v>
      </c>
      <c r="P52" s="3" t="str">
        <f t="shared" si="12"/>
        <v>Missing</v>
      </c>
      <c r="Q52" s="3" t="str">
        <f t="shared" si="13"/>
        <v>Missing</v>
      </c>
      <c r="R52" s="3" t="str">
        <f t="shared" si="14"/>
        <v>Missing</v>
      </c>
      <c r="S52" s="3" t="str">
        <f t="shared" si="15"/>
        <v>Missing</v>
      </c>
    </row>
    <row r="53" spans="1:19" x14ac:dyDescent="0.25">
      <c r="A53" s="7" t="s">
        <v>244</v>
      </c>
      <c r="B53" s="13">
        <v>1189</v>
      </c>
      <c r="C53" s="13">
        <v>2199</v>
      </c>
      <c r="D53" s="13" t="str">
        <f>IF(tblProducts[[#This Row],[Current Price]]="","Missing",IF(tblProducts[[#This Row],[Current Price]]&lt;=Price_Q1,"Low Price",IF(tblProducts[[#This Row],[Current Price]]&lt;=Price_Q3,"Medium Price","High Price")))</f>
        <v>Medium Price</v>
      </c>
      <c r="E53" s="8">
        <f t="shared" si="8"/>
        <v>1010</v>
      </c>
      <c r="F53" s="17">
        <f t="shared" si="9"/>
        <v>0.45929968167348795</v>
      </c>
      <c r="G53" s="17">
        <v>0.46</v>
      </c>
      <c r="H53" s="17" t="str">
        <f>IF(tblProducts[[#This Row],[Advertised Discount]]="","Missing",IF(tblProducts[[#This Row],[Advertised Discount]]&lt;20%,"Low Discount",IF(tblProducts[[#This Row],[Advertised Discount]]&lt;=40%,"Medium Discount","High Discount")))</f>
        <v>High Discount</v>
      </c>
      <c r="I53" s="17" t="str" cm="1">
        <f t="array" ref="I53">IF(OR(tblProducts[Advertised Discount]&lt;0%,tblProducts[Advertised Discount]&gt;100%),"Check rating","OK")</f>
        <v>OK</v>
      </c>
      <c r="J53" s="2">
        <v>1</v>
      </c>
      <c r="K53" s="9">
        <v>3</v>
      </c>
      <c r="L53" s="3" t="str">
        <f>IF(tblProducts[[#This Row],[Rating]]="","Missing",IF(tblProducts[[#This Row],[Rating]]&lt;3,"Poor",IF(tblProducts[[#This Row],[Rating]]&lt;=4.5,"Average","Excellent")))</f>
        <v>Average</v>
      </c>
      <c r="M53" s="3" t="str">
        <f>IF(OR(tblProducts[[#This Row],[Rating]]&lt;0,tblProducts[[#This Row],[Rating]]&gt;5),"Check rating","OK")</f>
        <v>OK</v>
      </c>
      <c r="N53" s="3" t="str">
        <f t="shared" si="10"/>
        <v>Complete</v>
      </c>
      <c r="O53" s="3" t="str">
        <f t="shared" si="11"/>
        <v>Weak Engagement</v>
      </c>
      <c r="P53" s="3" t="str">
        <f t="shared" si="12"/>
        <v>No</v>
      </c>
      <c r="Q53" s="3" t="str">
        <f t="shared" si="13"/>
        <v>Yes</v>
      </c>
      <c r="R53" s="3" t="str">
        <f t="shared" si="14"/>
        <v>No</v>
      </c>
      <c r="S53" s="3" t="str">
        <f t="shared" si="15"/>
        <v>No</v>
      </c>
    </row>
    <row r="54" spans="1:19" x14ac:dyDescent="0.25">
      <c r="A54" s="7" t="s">
        <v>308</v>
      </c>
      <c r="B54" s="13">
        <v>1150</v>
      </c>
      <c r="C54" s="13">
        <v>1737</v>
      </c>
      <c r="D54" s="13" t="str">
        <f>IF(tblProducts[[#This Row],[Current Price]]="","Missing",IF(tblProducts[[#This Row],[Current Price]]&lt;=Price_Q1,"Low Price",IF(tblProducts[[#This Row],[Current Price]]&lt;=Price_Q3,"Medium Price","High Price")))</f>
        <v>Medium Price</v>
      </c>
      <c r="E54" s="8">
        <f t="shared" si="8"/>
        <v>587</v>
      </c>
      <c r="F54" s="17">
        <f t="shared" si="9"/>
        <v>0.3379389752446747</v>
      </c>
      <c r="G54" s="17">
        <v>0.34</v>
      </c>
      <c r="H54" s="17" t="str">
        <f>IF(tblProducts[[#This Row],[Advertised Discount]]="","Missing",IF(tblProducts[[#This Row],[Advertised Discount]]&lt;20%,"Low Discount",IF(tblProducts[[#This Row],[Advertised Discount]]&lt;=40%,"Medium Discount","High Discount")))</f>
        <v>Medium Discount</v>
      </c>
      <c r="I54" s="17" t="str" cm="1">
        <f t="array" ref="I54">IF(OR(tblProducts[Advertised Discount]&lt;0%,tblProducts[Advertised Discount]&gt;100%),"Check rating","OK")</f>
        <v>OK</v>
      </c>
      <c r="J54" s="2"/>
      <c r="K54" s="9" t="s">
        <v>78</v>
      </c>
      <c r="L54" s="3" t="str">
        <f>IF(tblProducts[[#This Row],[Rating]]="","Missing",IF(tblProducts[[#This Row],[Rating]]&lt;3,"Poor",IF(tblProducts[[#This Row],[Rating]]&lt;=4.5,"Average","Excellent")))</f>
        <v>Missing</v>
      </c>
      <c r="M54" s="3" t="str">
        <f>IF(OR(tblProducts[[#This Row],[Rating]]&lt;0,tblProducts[[#This Row],[Rating]]&gt;5),"Check rating","OK")</f>
        <v>Check rating</v>
      </c>
      <c r="N54" s="3" t="str">
        <f t="shared" si="10"/>
        <v>Missing rating and review</v>
      </c>
      <c r="O54" s="3" t="str">
        <f t="shared" si="11"/>
        <v>Weak Engagement</v>
      </c>
      <c r="P54" s="3" t="str">
        <f t="shared" si="12"/>
        <v>Missing</v>
      </c>
      <c r="Q54" s="3" t="str">
        <f t="shared" si="13"/>
        <v>Missing</v>
      </c>
      <c r="R54" s="3" t="str">
        <f t="shared" si="14"/>
        <v>Missing</v>
      </c>
      <c r="S54" s="3" t="str">
        <f t="shared" si="15"/>
        <v>Missing</v>
      </c>
    </row>
    <row r="55" spans="1:19" x14ac:dyDescent="0.25">
      <c r="A55" s="7" t="s">
        <v>293</v>
      </c>
      <c r="B55" s="13">
        <v>1080</v>
      </c>
      <c r="C55" s="13">
        <v>1874</v>
      </c>
      <c r="D55" s="13" t="str">
        <f>IF(tblProducts[[#This Row],[Current Price]]="","Missing",IF(tblProducts[[#This Row],[Current Price]]&lt;=Price_Q1,"Low Price",IF(tblProducts[[#This Row],[Current Price]]&lt;=Price_Q3,"Medium Price","High Price")))</f>
        <v>Medium Price</v>
      </c>
      <c r="E55" s="8">
        <f t="shared" si="8"/>
        <v>794</v>
      </c>
      <c r="F55" s="17">
        <f t="shared" si="9"/>
        <v>0.42369263607257202</v>
      </c>
      <c r="G55" s="17">
        <v>0.42</v>
      </c>
      <c r="H55" s="17" t="str">
        <f>IF(tblProducts[[#This Row],[Advertised Discount]]="","Missing",IF(tblProducts[[#This Row],[Advertised Discount]]&lt;20%,"Low Discount",IF(tblProducts[[#This Row],[Advertised Discount]]&lt;=40%,"Medium Discount","High Discount")))</f>
        <v>High Discount</v>
      </c>
      <c r="I55" s="17" t="str" cm="1">
        <f t="array" ref="I55">IF(OR(tblProducts[Advertised Discount]&lt;0%,tblProducts[Advertised Discount]&gt;100%),"Check rating","OK")</f>
        <v>OK</v>
      </c>
      <c r="J55" s="2"/>
      <c r="K55" s="9" t="s">
        <v>78</v>
      </c>
      <c r="L55" s="3" t="str">
        <f>IF(tblProducts[[#This Row],[Rating]]="","Missing",IF(tblProducts[[#This Row],[Rating]]&lt;3,"Poor",IF(tblProducts[[#This Row],[Rating]]&lt;=4.5,"Average","Excellent")))</f>
        <v>Missing</v>
      </c>
      <c r="M55" s="3" t="str">
        <f>IF(OR(tblProducts[[#This Row],[Rating]]&lt;0,tblProducts[[#This Row],[Rating]]&gt;5),"Check rating","OK")</f>
        <v>Check rating</v>
      </c>
      <c r="N55" s="3" t="str">
        <f t="shared" si="10"/>
        <v>Missing rating and review</v>
      </c>
      <c r="O55" s="3" t="str">
        <f t="shared" si="11"/>
        <v>Weak Engagement</v>
      </c>
      <c r="P55" s="3" t="str">
        <f t="shared" si="12"/>
        <v>Missing</v>
      </c>
      <c r="Q55" s="3" t="str">
        <f t="shared" si="13"/>
        <v>Missing</v>
      </c>
      <c r="R55" s="3" t="str">
        <f t="shared" si="14"/>
        <v>Missing</v>
      </c>
      <c r="S55" s="3" t="str">
        <f t="shared" si="15"/>
        <v>Missing</v>
      </c>
    </row>
    <row r="56" spans="1:19" x14ac:dyDescent="0.25">
      <c r="A56" s="7" t="s">
        <v>210</v>
      </c>
      <c r="B56" s="13">
        <v>1000</v>
      </c>
      <c r="C56" s="13">
        <v>2000</v>
      </c>
      <c r="D56" s="13" t="str">
        <f>IF(tblProducts[[#This Row],[Current Price]]="","Missing",IF(tblProducts[[#This Row],[Current Price]]&lt;=Price_Q1,"Low Price",IF(tblProducts[[#This Row],[Current Price]]&lt;=Price_Q3,"Medium Price","High Price")))</f>
        <v>Medium Price</v>
      </c>
      <c r="E56" s="8">
        <f t="shared" si="8"/>
        <v>1000</v>
      </c>
      <c r="F56" s="17">
        <f t="shared" si="9"/>
        <v>0.5</v>
      </c>
      <c r="G56" s="17">
        <v>0.5</v>
      </c>
      <c r="H56" s="17" t="str">
        <f>IF(tblProducts[[#This Row],[Advertised Discount]]="","Missing",IF(tblProducts[[#This Row],[Advertised Discount]]&lt;20%,"Low Discount",IF(tblProducts[[#This Row],[Advertised Discount]]&lt;=40%,"Medium Discount","High Discount")))</f>
        <v>High Discount</v>
      </c>
      <c r="I56" s="17" t="str" cm="1">
        <f t="array" ref="I56">IF(OR(tblProducts[Advertised Discount]&lt;0%,tblProducts[Advertised Discount]&gt;100%),"Check rating","OK")</f>
        <v>OK</v>
      </c>
      <c r="J56" s="2">
        <v>7</v>
      </c>
      <c r="K56" s="9">
        <v>2.2999999999999998</v>
      </c>
      <c r="L56" s="3" t="str">
        <f>IF(tblProducts[[#This Row],[Rating]]="","Missing",IF(tblProducts[[#This Row],[Rating]]&lt;3,"Poor",IF(tblProducts[[#This Row],[Rating]]&lt;=4.5,"Average","Excellent")))</f>
        <v>Poor</v>
      </c>
      <c r="M56" s="3" t="str">
        <f>IF(OR(tblProducts[[#This Row],[Rating]]&lt;0,tblProducts[[#This Row],[Rating]]&gt;5),"Check rating","OK")</f>
        <v>OK</v>
      </c>
      <c r="N56" s="3" t="str">
        <f t="shared" si="10"/>
        <v>Complete</v>
      </c>
      <c r="O56" s="3" t="str">
        <f t="shared" si="11"/>
        <v>Weak Engagement</v>
      </c>
      <c r="P56" s="3" t="str">
        <f t="shared" si="12"/>
        <v>Yes</v>
      </c>
      <c r="Q56" s="3" t="str">
        <f t="shared" si="13"/>
        <v>Yes</v>
      </c>
      <c r="R56" s="3" t="str">
        <f t="shared" si="14"/>
        <v>No</v>
      </c>
      <c r="S56" s="3" t="str">
        <f t="shared" si="15"/>
        <v>No</v>
      </c>
    </row>
    <row r="57" spans="1:19" x14ac:dyDescent="0.25">
      <c r="A57" s="7" t="s">
        <v>144</v>
      </c>
      <c r="B57" s="13">
        <v>999</v>
      </c>
      <c r="C57" s="13">
        <v>2000</v>
      </c>
      <c r="D57" s="13" t="str">
        <f>IF(tblProducts[[#This Row],[Current Price]]="","Missing",IF(tblProducts[[#This Row],[Current Price]]&lt;=Price_Q1,"Low Price",IF(tblProducts[[#This Row],[Current Price]]&lt;=Price_Q3,"Medium Price","High Price")))</f>
        <v>Medium Price</v>
      </c>
      <c r="E57" s="8">
        <f t="shared" si="8"/>
        <v>1001</v>
      </c>
      <c r="F57" s="17">
        <f t="shared" si="9"/>
        <v>0.50049999999999994</v>
      </c>
      <c r="G57" s="17">
        <v>0.5</v>
      </c>
      <c r="H57" s="17" t="str">
        <f>IF(tblProducts[[#This Row],[Advertised Discount]]="","Missing",IF(tblProducts[[#This Row],[Advertised Discount]]&lt;20%,"Low Discount",IF(tblProducts[[#This Row],[Advertised Discount]]&lt;=40%,"Medium Discount","High Discount")))</f>
        <v>High Discount</v>
      </c>
      <c r="I57" s="17" t="str" cm="1">
        <f t="array" ref="I57">IF(OR(tblProducts[Advertised Discount]&lt;0%,tblProducts[Advertised Discount]&gt;100%),"Check rating","OK")</f>
        <v>OK</v>
      </c>
      <c r="J57" s="2"/>
      <c r="K57" s="9" t="s">
        <v>78</v>
      </c>
      <c r="L57" s="3" t="str">
        <f>IF(tblProducts[[#This Row],[Rating]]="","Missing",IF(tblProducts[[#This Row],[Rating]]&lt;3,"Poor",IF(tblProducts[[#This Row],[Rating]]&lt;=4.5,"Average","Excellent")))</f>
        <v>Missing</v>
      </c>
      <c r="M57" s="3" t="str">
        <f>IF(OR(tblProducts[[#This Row],[Rating]]&lt;0,tblProducts[[#This Row],[Rating]]&gt;5),"Check rating","OK")</f>
        <v>Check rating</v>
      </c>
      <c r="N57" s="3" t="str">
        <f t="shared" si="10"/>
        <v>Missing rating and review</v>
      </c>
      <c r="O57" s="3" t="str">
        <f t="shared" si="11"/>
        <v>Weak Engagement</v>
      </c>
      <c r="P57" s="3" t="str">
        <f t="shared" si="12"/>
        <v>Missing</v>
      </c>
      <c r="Q57" s="3" t="str">
        <f t="shared" si="13"/>
        <v>Missing</v>
      </c>
      <c r="R57" s="3" t="str">
        <f t="shared" si="14"/>
        <v>Missing</v>
      </c>
      <c r="S57" s="3" t="str">
        <f t="shared" si="15"/>
        <v>Missing</v>
      </c>
    </row>
    <row r="58" spans="1:19" x14ac:dyDescent="0.25">
      <c r="A58" s="7" t="s">
        <v>68</v>
      </c>
      <c r="B58" s="13">
        <v>998</v>
      </c>
      <c r="C58" s="13">
        <v>1966</v>
      </c>
      <c r="D58" s="13" t="str">
        <f>IF(tblProducts[[#This Row],[Current Price]]="","Missing",IF(tblProducts[[#This Row],[Current Price]]&lt;=Price_Q1,"Low Price",IF(tblProducts[[#This Row],[Current Price]]&lt;=Price_Q3,"Medium Price","High Price")))</f>
        <v>Medium Price</v>
      </c>
      <c r="E58" s="8">
        <f t="shared" si="8"/>
        <v>968</v>
      </c>
      <c r="F58" s="17">
        <f t="shared" si="9"/>
        <v>0.49237029501525942</v>
      </c>
      <c r="G58" s="17">
        <v>0.49</v>
      </c>
      <c r="H58" s="17" t="str">
        <f>IF(tblProducts[[#This Row],[Advertised Discount]]="","Missing",IF(tblProducts[[#This Row],[Advertised Discount]]&lt;20%,"Low Discount",IF(tblProducts[[#This Row],[Advertised Discount]]&lt;=40%,"Medium Discount","High Discount")))</f>
        <v>High Discount</v>
      </c>
      <c r="I58" s="17" t="str" cm="1">
        <f t="array" ref="I58">IF(OR(tblProducts[Advertised Discount]&lt;0%,tblProducts[Advertised Discount]&gt;100%),"Check rating","OK")</f>
        <v>OK</v>
      </c>
      <c r="J58" s="2">
        <v>44</v>
      </c>
      <c r="K58" s="9">
        <v>4.5999999999999996</v>
      </c>
      <c r="L58" s="3" t="str">
        <f>IF(tblProducts[[#This Row],[Rating]]="","Missing",IF(tblProducts[[#This Row],[Rating]]&lt;3,"Poor",IF(tblProducts[[#This Row],[Rating]]&lt;=4.5,"Average","Excellent")))</f>
        <v>Excellent</v>
      </c>
      <c r="M58" s="3" t="str">
        <f>IF(OR(tblProducts[[#This Row],[Rating]]&lt;0,tblProducts[[#This Row],[Rating]]&gt;5),"Check rating","OK")</f>
        <v>OK</v>
      </c>
      <c r="N58" s="3" t="str">
        <f t="shared" si="10"/>
        <v>Complete</v>
      </c>
      <c r="O58" s="3" t="str">
        <f t="shared" si="11"/>
        <v>Strong Engagement</v>
      </c>
      <c r="P58" s="3" t="str">
        <f t="shared" si="12"/>
        <v>No</v>
      </c>
      <c r="Q58" s="3" t="str">
        <f t="shared" si="13"/>
        <v>No</v>
      </c>
      <c r="R58" s="3" t="str">
        <f t="shared" si="14"/>
        <v>No</v>
      </c>
      <c r="S58" s="3" t="str">
        <f t="shared" si="15"/>
        <v>Yes</v>
      </c>
    </row>
    <row r="59" spans="1:19" x14ac:dyDescent="0.25">
      <c r="A59" s="7" t="s">
        <v>44</v>
      </c>
      <c r="B59" s="13">
        <v>990</v>
      </c>
      <c r="C59" s="13">
        <v>1500</v>
      </c>
      <c r="D59" s="13" t="str">
        <f>IF(tblProducts[[#This Row],[Current Price]]="","Missing",IF(tblProducts[[#This Row],[Current Price]]&lt;=Price_Q1,"Low Price",IF(tblProducts[[#This Row],[Current Price]]&lt;=Price_Q3,"Medium Price","High Price")))</f>
        <v>Medium Price</v>
      </c>
      <c r="E59" s="8">
        <f t="shared" si="8"/>
        <v>510</v>
      </c>
      <c r="F59" s="17">
        <f t="shared" si="9"/>
        <v>0.34</v>
      </c>
      <c r="G59" s="17">
        <v>0.34</v>
      </c>
      <c r="H59" s="17" t="str">
        <f>IF(tblProducts[[#This Row],[Advertised Discount]]="","Missing",IF(tblProducts[[#This Row],[Advertised Discount]]&lt;20%,"Low Discount",IF(tblProducts[[#This Row],[Advertised Discount]]&lt;=40%,"Medium Discount","High Discount")))</f>
        <v>Medium Discount</v>
      </c>
      <c r="I59" s="17" t="str" cm="1">
        <f t="array" ref="I59">IF(OR(tblProducts[Advertised Discount]&lt;0%,tblProducts[Advertised Discount]&gt;100%),"Check rating","OK")</f>
        <v>OK</v>
      </c>
      <c r="J59" s="2">
        <v>39</v>
      </c>
      <c r="K59" s="9">
        <v>4.7</v>
      </c>
      <c r="L59" s="3" t="str">
        <f>IF(tblProducts[[#This Row],[Rating]]="","Missing",IF(tblProducts[[#This Row],[Rating]]&lt;3,"Poor",IF(tblProducts[[#This Row],[Rating]]&lt;=4.5,"Average","Excellent")))</f>
        <v>Excellent</v>
      </c>
      <c r="M59" s="3" t="str">
        <f>IF(OR(tblProducts[[#This Row],[Rating]]&lt;0,tblProducts[[#This Row],[Rating]]&gt;5),"Check rating","OK")</f>
        <v>OK</v>
      </c>
      <c r="N59" s="3" t="str">
        <f t="shared" si="10"/>
        <v>Complete</v>
      </c>
      <c r="O59" s="3" t="str">
        <f t="shared" si="11"/>
        <v>Strong Engagement</v>
      </c>
      <c r="P59" s="3" t="str">
        <f t="shared" si="12"/>
        <v>No</v>
      </c>
      <c r="Q59" s="3" t="str">
        <f t="shared" si="13"/>
        <v>No</v>
      </c>
      <c r="R59" s="3" t="str">
        <f t="shared" si="14"/>
        <v>No</v>
      </c>
      <c r="S59" s="3" t="str">
        <f t="shared" si="15"/>
        <v>Yes</v>
      </c>
    </row>
    <row r="60" spans="1:19" x14ac:dyDescent="0.25">
      <c r="A60" s="7" t="s">
        <v>207</v>
      </c>
      <c r="B60" s="13">
        <v>990</v>
      </c>
      <c r="C60" s="13">
        <v>1814</v>
      </c>
      <c r="D60" s="13" t="str">
        <f>IF(tblProducts[[#This Row],[Current Price]]="","Missing",IF(tblProducts[[#This Row],[Current Price]]&lt;=Price_Q1,"Low Price",IF(tblProducts[[#This Row],[Current Price]]&lt;=Price_Q3,"Medium Price","High Price")))</f>
        <v>Medium Price</v>
      </c>
      <c r="E60" s="8">
        <f t="shared" si="8"/>
        <v>824</v>
      </c>
      <c r="F60" s="17">
        <f t="shared" si="9"/>
        <v>0.45424476295479604</v>
      </c>
      <c r="G60" s="17">
        <v>0.45</v>
      </c>
      <c r="H60" s="17" t="str">
        <f>IF(tblProducts[[#This Row],[Advertised Discount]]="","Missing",IF(tblProducts[[#This Row],[Advertised Discount]]&lt;20%,"Low Discount",IF(tblProducts[[#This Row],[Advertised Discount]]&lt;=40%,"Medium Discount","High Discount")))</f>
        <v>High Discount</v>
      </c>
      <c r="I60" s="17" t="str" cm="1">
        <f t="array" ref="I60">IF(OR(tblProducts[Advertised Discount]&lt;0%,tblProducts[Advertised Discount]&gt;100%),"Check rating","OK")</f>
        <v>OK</v>
      </c>
      <c r="J60" s="2">
        <v>6</v>
      </c>
      <c r="K60" s="9">
        <v>2.2000000000000002</v>
      </c>
      <c r="L60" s="3" t="str">
        <f>IF(tblProducts[[#This Row],[Rating]]="","Missing",IF(tblProducts[[#This Row],[Rating]]&lt;3,"Poor",IF(tblProducts[[#This Row],[Rating]]&lt;=4.5,"Average","Excellent")))</f>
        <v>Poor</v>
      </c>
      <c r="M60" s="3" t="str">
        <f>IF(OR(tblProducts[[#This Row],[Rating]]&lt;0,tblProducts[[#This Row],[Rating]]&gt;5),"Check rating","OK")</f>
        <v>OK</v>
      </c>
      <c r="N60" s="3" t="str">
        <f t="shared" si="10"/>
        <v>Complete</v>
      </c>
      <c r="O60" s="3" t="str">
        <f t="shared" si="11"/>
        <v>Weak Engagement</v>
      </c>
      <c r="P60" s="3" t="str">
        <f t="shared" si="12"/>
        <v>Yes</v>
      </c>
      <c r="Q60" s="3" t="str">
        <f t="shared" si="13"/>
        <v>Yes</v>
      </c>
      <c r="R60" s="3" t="str">
        <f t="shared" si="14"/>
        <v>No</v>
      </c>
      <c r="S60" s="3" t="str">
        <f t="shared" si="15"/>
        <v>No</v>
      </c>
    </row>
    <row r="61" spans="1:19" x14ac:dyDescent="0.25">
      <c r="A61" s="7" t="s">
        <v>33</v>
      </c>
      <c r="B61" s="13">
        <v>988</v>
      </c>
      <c r="C61" s="13">
        <v>1580</v>
      </c>
      <c r="D61" s="13" t="str">
        <f>IF(tblProducts[[#This Row],[Current Price]]="","Missing",IF(tblProducts[[#This Row],[Current Price]]&lt;=Price_Q1,"Low Price",IF(tblProducts[[#This Row],[Current Price]]&lt;=Price_Q3,"Medium Price","High Price")))</f>
        <v>Medium Price</v>
      </c>
      <c r="E61" s="8">
        <f t="shared" si="8"/>
        <v>592</v>
      </c>
      <c r="F61" s="17">
        <f t="shared" si="9"/>
        <v>0.37468354430379747</v>
      </c>
      <c r="G61" s="17">
        <v>0.37</v>
      </c>
      <c r="H61" s="17" t="str">
        <f>IF(tblProducts[[#This Row],[Advertised Discount]]="","Missing",IF(tblProducts[[#This Row],[Advertised Discount]]&lt;20%,"Low Discount",IF(tblProducts[[#This Row],[Advertised Discount]]&lt;=40%,"Medium Discount","High Discount")))</f>
        <v>Medium Discount</v>
      </c>
      <c r="I61" s="17" t="str" cm="1">
        <f t="array" ref="I61">IF(OR(tblProducts[Advertised Discount]&lt;0%,tblProducts[Advertised Discount]&gt;100%),"Check rating","OK")</f>
        <v>OK</v>
      </c>
      <c r="J61" s="2">
        <v>2</v>
      </c>
      <c r="K61" s="9">
        <v>4</v>
      </c>
      <c r="L61" s="3" t="str">
        <f>IF(tblProducts[[#This Row],[Rating]]="","Missing",IF(tblProducts[[#This Row],[Rating]]&lt;3,"Poor",IF(tblProducts[[#This Row],[Rating]]&lt;=4.5,"Average","Excellent")))</f>
        <v>Average</v>
      </c>
      <c r="M61" s="3" t="str">
        <f>IF(OR(tblProducts[[#This Row],[Rating]]&lt;0,tblProducts[[#This Row],[Rating]]&gt;5),"Check rating","OK")</f>
        <v>OK</v>
      </c>
      <c r="N61" s="3" t="str">
        <f t="shared" si="10"/>
        <v>Complete</v>
      </c>
      <c r="O61" s="3" t="str">
        <f t="shared" si="11"/>
        <v>Weak Engagement</v>
      </c>
      <c r="P61" s="3" t="str">
        <f t="shared" si="12"/>
        <v>No</v>
      </c>
      <c r="Q61" s="3" t="str">
        <f t="shared" si="13"/>
        <v>No</v>
      </c>
      <c r="R61" s="3" t="str">
        <f t="shared" si="14"/>
        <v>No</v>
      </c>
      <c r="S61" s="3" t="str">
        <f t="shared" si="15"/>
        <v>No</v>
      </c>
    </row>
    <row r="62" spans="1:19" x14ac:dyDescent="0.25">
      <c r="A62" s="7" t="s">
        <v>106</v>
      </c>
      <c r="B62" s="13">
        <v>980</v>
      </c>
      <c r="C62" s="13">
        <v>1490</v>
      </c>
      <c r="D62" s="13" t="str">
        <f>IF(tblProducts[[#This Row],[Current Price]]="","Missing",IF(tblProducts[[#This Row],[Current Price]]&lt;=Price_Q1,"Low Price",IF(tblProducts[[#This Row],[Current Price]]&lt;=Price_Q3,"Medium Price","High Price")))</f>
        <v>Medium Price</v>
      </c>
      <c r="E62" s="8">
        <f t="shared" si="8"/>
        <v>510</v>
      </c>
      <c r="F62" s="17">
        <f t="shared" si="9"/>
        <v>0.34228187919463088</v>
      </c>
      <c r="G62" s="17">
        <v>0.34</v>
      </c>
      <c r="H62" s="17" t="str">
        <f>IF(tblProducts[[#This Row],[Advertised Discount]]="","Missing",IF(tblProducts[[#This Row],[Advertised Discount]]&lt;20%,"Low Discount",IF(tblProducts[[#This Row],[Advertised Discount]]&lt;=40%,"Medium Discount","High Discount")))</f>
        <v>Medium Discount</v>
      </c>
      <c r="I62" s="17" t="str" cm="1">
        <f t="array" ref="I62">IF(OR(tblProducts[Advertised Discount]&lt;0%,tblProducts[Advertised Discount]&gt;100%),"Check rating","OK")</f>
        <v>OK</v>
      </c>
      <c r="J62" s="2">
        <v>12</v>
      </c>
      <c r="K62" s="9">
        <v>4.7</v>
      </c>
      <c r="L62" s="3" t="str">
        <f>IF(tblProducts[[#This Row],[Rating]]="","Missing",IF(tblProducts[[#This Row],[Rating]]&lt;3,"Poor",IF(tblProducts[[#This Row],[Rating]]&lt;=4.5,"Average","Excellent")))</f>
        <v>Excellent</v>
      </c>
      <c r="M62" s="3" t="str">
        <f>IF(OR(tblProducts[[#This Row],[Rating]]&lt;0,tblProducts[[#This Row],[Rating]]&gt;5),"Check rating","OK")</f>
        <v>OK</v>
      </c>
      <c r="N62" s="3" t="str">
        <f t="shared" si="10"/>
        <v>Complete</v>
      </c>
      <c r="O62" s="3" t="str">
        <f t="shared" si="11"/>
        <v>Weak Engagement</v>
      </c>
      <c r="P62" s="3" t="str">
        <f t="shared" si="12"/>
        <v>No</v>
      </c>
      <c r="Q62" s="3" t="str">
        <f t="shared" si="13"/>
        <v>No</v>
      </c>
      <c r="R62" s="3" t="str">
        <f t="shared" si="14"/>
        <v>No</v>
      </c>
      <c r="S62" s="3" t="str">
        <f t="shared" si="15"/>
        <v>No</v>
      </c>
    </row>
    <row r="63" spans="1:19" x14ac:dyDescent="0.25">
      <c r="A63" s="7" t="s">
        <v>246</v>
      </c>
      <c r="B63" s="13">
        <v>979</v>
      </c>
      <c r="C63" s="13">
        <v>1920</v>
      </c>
      <c r="D63" s="13" t="str">
        <f>IF(tblProducts[[#This Row],[Current Price]]="","Missing",IF(tblProducts[[#This Row],[Current Price]]&lt;=Price_Q1,"Low Price",IF(tblProducts[[#This Row],[Current Price]]&lt;=Price_Q3,"Medium Price","High Price")))</f>
        <v>Medium Price</v>
      </c>
      <c r="E63" s="8">
        <f t="shared" si="8"/>
        <v>941</v>
      </c>
      <c r="F63" s="17">
        <f t="shared" si="9"/>
        <v>0.49010416666666667</v>
      </c>
      <c r="G63" s="17">
        <v>0.49</v>
      </c>
      <c r="H63" s="17" t="str">
        <f>IF(tblProducts[[#This Row],[Advertised Discount]]="","Missing",IF(tblProducts[[#This Row],[Advertised Discount]]&lt;20%,"Low Discount",IF(tblProducts[[#This Row],[Advertised Discount]]&lt;=40%,"Medium Discount","High Discount")))</f>
        <v>High Discount</v>
      </c>
      <c r="I63" s="17" t="str" cm="1">
        <f t="array" ref="I63">IF(OR(tblProducts[Advertised Discount]&lt;0%,tblProducts[Advertised Discount]&gt;100%),"Check rating","OK")</f>
        <v>OK</v>
      </c>
      <c r="J63" s="2">
        <v>1</v>
      </c>
      <c r="K63" s="9">
        <v>5</v>
      </c>
      <c r="L63" s="3" t="str">
        <f>IF(tblProducts[[#This Row],[Rating]]="","Missing",IF(tblProducts[[#This Row],[Rating]]&lt;3,"Poor",IF(tblProducts[[#This Row],[Rating]]&lt;=4.5,"Average","Excellent")))</f>
        <v>Excellent</v>
      </c>
      <c r="M63" s="3" t="str">
        <f>IF(OR(tblProducts[[#This Row],[Rating]]&lt;0,tblProducts[[#This Row],[Rating]]&gt;5),"Check rating","OK")</f>
        <v>OK</v>
      </c>
      <c r="N63" s="3" t="str">
        <f t="shared" si="10"/>
        <v>Complete</v>
      </c>
      <c r="O63" s="3" t="str">
        <f t="shared" si="11"/>
        <v>Weak Engagement</v>
      </c>
      <c r="P63" s="3" t="str">
        <f t="shared" si="12"/>
        <v>No</v>
      </c>
      <c r="Q63" s="3" t="str">
        <f t="shared" si="13"/>
        <v>Yes</v>
      </c>
      <c r="R63" s="3" t="str">
        <f t="shared" si="14"/>
        <v>No</v>
      </c>
      <c r="S63" s="3" t="str">
        <f t="shared" si="15"/>
        <v>No</v>
      </c>
    </row>
    <row r="64" spans="1:19" x14ac:dyDescent="0.25">
      <c r="A64" s="7" t="s">
        <v>228</v>
      </c>
      <c r="B64" s="13">
        <v>968</v>
      </c>
      <c r="C64" s="13">
        <v>1814</v>
      </c>
      <c r="D64" s="13" t="str">
        <f>IF(tblProducts[[#This Row],[Current Price]]="","Missing",IF(tblProducts[[#This Row],[Current Price]]&lt;=Price_Q1,"Low Price",IF(tblProducts[[#This Row],[Current Price]]&lt;=Price_Q3,"Medium Price","High Price")))</f>
        <v>Medium Price</v>
      </c>
      <c r="E64" s="8">
        <f t="shared" si="8"/>
        <v>846</v>
      </c>
      <c r="F64" s="17">
        <f t="shared" si="9"/>
        <v>0.46637265711135611</v>
      </c>
      <c r="G64" s="17">
        <v>0.47</v>
      </c>
      <c r="H64" s="17" t="str">
        <f>IF(tblProducts[[#This Row],[Advertised Discount]]="","Missing",IF(tblProducts[[#This Row],[Advertised Discount]]&lt;20%,"Low Discount",IF(tblProducts[[#This Row],[Advertised Discount]]&lt;=40%,"Medium Discount","High Discount")))</f>
        <v>High Discount</v>
      </c>
      <c r="I64" s="17" t="str" cm="1">
        <f t="array" ref="I64">IF(OR(tblProducts[Advertised Discount]&lt;0%,tblProducts[Advertised Discount]&gt;100%),"Check rating","OK")</f>
        <v>OK</v>
      </c>
      <c r="J64" s="2">
        <v>6</v>
      </c>
      <c r="K64" s="9">
        <v>2.2000000000000002</v>
      </c>
      <c r="L64" s="3" t="str">
        <f>IF(tblProducts[[#This Row],[Rating]]="","Missing",IF(tblProducts[[#This Row],[Rating]]&lt;3,"Poor",IF(tblProducts[[#This Row],[Rating]]&lt;=4.5,"Average","Excellent")))</f>
        <v>Poor</v>
      </c>
      <c r="M64" s="3" t="str">
        <f>IF(OR(tblProducts[[#This Row],[Rating]]&lt;0,tblProducts[[#This Row],[Rating]]&gt;5),"Check rating","OK")</f>
        <v>OK</v>
      </c>
      <c r="N64" s="3" t="str">
        <f t="shared" si="10"/>
        <v>Complete</v>
      </c>
      <c r="O64" s="3" t="str">
        <f t="shared" si="11"/>
        <v>Weak Engagement</v>
      </c>
      <c r="P64" s="3" t="str">
        <f t="shared" si="12"/>
        <v>Yes</v>
      </c>
      <c r="Q64" s="3" t="str">
        <f t="shared" si="13"/>
        <v>Yes</v>
      </c>
      <c r="R64" s="3" t="str">
        <f t="shared" si="14"/>
        <v>No</v>
      </c>
      <c r="S64" s="3" t="str">
        <f t="shared" si="15"/>
        <v>No</v>
      </c>
    </row>
    <row r="65" spans="1:19" x14ac:dyDescent="0.25">
      <c r="A65" s="7" t="s">
        <v>6</v>
      </c>
      <c r="B65" s="13">
        <v>950</v>
      </c>
      <c r="C65" s="13">
        <v>1525</v>
      </c>
      <c r="D65" s="13" t="str">
        <f>IF(tblProducts[[#This Row],[Current Price]]="","Missing",IF(tblProducts[[#This Row],[Current Price]]&lt;=Price_Q1,"Low Price",IF(tblProducts[[#This Row],[Current Price]]&lt;=Price_Q3,"Medium Price","High Price")))</f>
        <v>Medium Price</v>
      </c>
      <c r="E65" s="8">
        <f t="shared" si="8"/>
        <v>575</v>
      </c>
      <c r="F65" s="17">
        <f t="shared" si="9"/>
        <v>0.37704918032786883</v>
      </c>
      <c r="G65" s="17">
        <v>0.38</v>
      </c>
      <c r="H65" s="17" t="str">
        <f>IF(tblProducts[[#This Row],[Advertised Discount]]="","Missing",IF(tblProducts[[#This Row],[Advertised Discount]]&lt;20%,"Low Discount",IF(tblProducts[[#This Row],[Advertised Discount]]&lt;=40%,"Medium Discount","High Discount")))</f>
        <v>Medium Discount</v>
      </c>
      <c r="I65" s="17" t="str" cm="1">
        <f t="array" ref="I65">IF(OR(tblProducts[Advertised Discount]&lt;0%,tblProducts[Advertised Discount]&gt;100%),"Check rating","OK")</f>
        <v>OK</v>
      </c>
      <c r="J65" s="2">
        <v>2</v>
      </c>
      <c r="K65" s="9">
        <v>4.5</v>
      </c>
      <c r="L65" s="3" t="str">
        <f>IF(tblProducts[[#This Row],[Rating]]="","Missing",IF(tblProducts[[#This Row],[Rating]]&lt;3,"Poor",IF(tblProducts[[#This Row],[Rating]]&lt;=4.5,"Average","Excellent")))</f>
        <v>Average</v>
      </c>
      <c r="M65" s="3" t="str">
        <f>IF(OR(tblProducts[[#This Row],[Rating]]&lt;0,tblProducts[[#This Row],[Rating]]&gt;5),"Check rating","OK")</f>
        <v>OK</v>
      </c>
      <c r="N65" s="3" t="str">
        <f t="shared" si="10"/>
        <v>Complete</v>
      </c>
      <c r="O65" s="3" t="str">
        <f t="shared" si="11"/>
        <v>Weak Engagement</v>
      </c>
      <c r="P65" s="3" t="str">
        <f t="shared" si="12"/>
        <v>No</v>
      </c>
      <c r="Q65" s="3" t="str">
        <f t="shared" si="13"/>
        <v>No</v>
      </c>
      <c r="R65" s="3" t="str">
        <f t="shared" si="14"/>
        <v>No</v>
      </c>
      <c r="S65" s="3" t="str">
        <f t="shared" si="15"/>
        <v>No</v>
      </c>
    </row>
    <row r="66" spans="1:19" x14ac:dyDescent="0.25">
      <c r="A66" s="7" t="s">
        <v>278</v>
      </c>
      <c r="B66" s="13">
        <v>899</v>
      </c>
      <c r="C66" s="13">
        <v>1699</v>
      </c>
      <c r="D66" s="13" t="str">
        <f>IF(tblProducts[[#This Row],[Current Price]]="","Missing",IF(tblProducts[[#This Row],[Current Price]]&lt;=Price_Q1,"Low Price",IF(tblProducts[[#This Row],[Current Price]]&lt;=Price_Q3,"Medium Price","High Price")))</f>
        <v>Medium Price</v>
      </c>
      <c r="E66" s="8">
        <f t="shared" ref="E66:E97" si="16">C66-B66</f>
        <v>800</v>
      </c>
      <c r="F66" s="17">
        <f t="shared" ref="F66:F97" si="17">((C66-B66)/C66)</f>
        <v>0.47086521483225424</v>
      </c>
      <c r="G66" s="17">
        <v>0.47</v>
      </c>
      <c r="H66" s="17" t="str">
        <f>IF(tblProducts[[#This Row],[Advertised Discount]]="","Missing",IF(tblProducts[[#This Row],[Advertised Discount]]&lt;20%,"Low Discount",IF(tblProducts[[#This Row],[Advertised Discount]]&lt;=40%,"Medium Discount","High Discount")))</f>
        <v>High Discount</v>
      </c>
      <c r="I66" s="17" t="str" cm="1">
        <f t="array" ref="I66">IF(OR(tblProducts[Advertised Discount]&lt;0%,tblProducts[Advertised Discount]&gt;100%),"Check rating","OK")</f>
        <v>OK</v>
      </c>
      <c r="J66" s="2"/>
      <c r="K66" s="9" t="s">
        <v>78</v>
      </c>
      <c r="L66" s="3" t="str">
        <f>IF(tblProducts[[#This Row],[Rating]]="","Missing",IF(tblProducts[[#This Row],[Rating]]&lt;3,"Poor",IF(tblProducts[[#This Row],[Rating]]&lt;=4.5,"Average","Excellent")))</f>
        <v>Missing</v>
      </c>
      <c r="M66" s="3" t="str">
        <f>IF(OR(tblProducts[[#This Row],[Rating]]&lt;0,tblProducts[[#This Row],[Rating]]&gt;5),"Check rating","OK")</f>
        <v>Check rating</v>
      </c>
      <c r="N66" s="3" t="str">
        <f t="shared" ref="N66:N97" si="18">IF(AND(J66="",K66=""),"Missing rating and review",IF(J66="","Missing review",IF(K66="","Missing rating","Complete")))</f>
        <v>Missing rating and review</v>
      </c>
      <c r="O66" s="3" t="str">
        <f t="shared" ref="O66:O97" si="19">IF(J66=" ","Missing",IF(J66&gt;=Review_Q3,"Strong Engagement","Weak Engagement"))</f>
        <v>Weak Engagement</v>
      </c>
      <c r="P66" s="3" t="str">
        <f t="shared" ref="P66:P97" si="20">IF(OR(G66="",K66=""),"Missing",IF(AND(G66&gt;40%,K66&lt;3),"Yes","No"))</f>
        <v>Missing</v>
      </c>
      <c r="Q66" s="3" t="str">
        <f t="shared" ref="Q66:Q97" si="21">IF(OR(G66="",J66=""),"Missing",IF(AND(G66&gt;40%,J66&lt;Review_Q3),"Yes","No"))</f>
        <v>Missing</v>
      </c>
      <c r="R66" s="3" t="str">
        <f t="shared" ref="R66:R97" si="22">IF(OR(J66="",K66=""),"Missing",IF(AND(J66&gt;=Review_Q3,K66&gt;=3,K66&lt;=4.5),"Yes","No"))</f>
        <v>Missing</v>
      </c>
      <c r="S66" s="3" t="str">
        <f t="shared" ref="S66:S97" si="23">IF(OR(J66="",K66=""),"Missing",IF(AND(J66&gt;=Review_Q3,K66&gt;4.5),"Yes","No"))</f>
        <v>Missing</v>
      </c>
    </row>
    <row r="67" spans="1:19" x14ac:dyDescent="0.25">
      <c r="A67" s="7" t="s">
        <v>79</v>
      </c>
      <c r="B67" s="13">
        <v>880</v>
      </c>
      <c r="C67" s="13">
        <v>1350</v>
      </c>
      <c r="D67" s="13" t="str">
        <f>IF(tblProducts[[#This Row],[Current Price]]="","Missing",IF(tblProducts[[#This Row],[Current Price]]&lt;=Price_Q1,"Low Price",IF(tblProducts[[#This Row],[Current Price]]&lt;=Price_Q3,"Medium Price","High Price")))</f>
        <v>Medium Price</v>
      </c>
      <c r="E67" s="8">
        <f t="shared" si="16"/>
        <v>470</v>
      </c>
      <c r="F67" s="17">
        <f t="shared" si="17"/>
        <v>0.34814814814814815</v>
      </c>
      <c r="G67" s="17">
        <v>0.35</v>
      </c>
      <c r="H67" s="17" t="str">
        <f>IF(tblProducts[[#This Row],[Advertised Discount]]="","Missing",IF(tblProducts[[#This Row],[Advertised Discount]]&lt;20%,"Low Discount",IF(tblProducts[[#This Row],[Advertised Discount]]&lt;=40%,"Medium Discount","High Discount")))</f>
        <v>Medium Discount</v>
      </c>
      <c r="I67" s="17" t="str" cm="1">
        <f t="array" ref="I67">IF(OR(tblProducts[Advertised Discount]&lt;0%,tblProducts[Advertised Discount]&gt;100%),"Check rating","OK")</f>
        <v>OK</v>
      </c>
      <c r="J67" s="2">
        <v>6</v>
      </c>
      <c r="K67" s="9">
        <v>4</v>
      </c>
      <c r="L67" s="3" t="str">
        <f>IF(tblProducts[[#This Row],[Rating]]="","Missing",IF(tblProducts[[#This Row],[Rating]]&lt;3,"Poor",IF(tblProducts[[#This Row],[Rating]]&lt;=4.5,"Average","Excellent")))</f>
        <v>Average</v>
      </c>
      <c r="M67" s="3" t="str">
        <f>IF(OR(tblProducts[[#This Row],[Rating]]&lt;0,tblProducts[[#This Row],[Rating]]&gt;5),"Check rating","OK")</f>
        <v>OK</v>
      </c>
      <c r="N67" s="3" t="str">
        <f t="shared" si="18"/>
        <v>Complete</v>
      </c>
      <c r="O67" s="3" t="str">
        <f t="shared" si="19"/>
        <v>Weak Engagement</v>
      </c>
      <c r="P67" s="3" t="str">
        <f t="shared" si="20"/>
        <v>No</v>
      </c>
      <c r="Q67" s="3" t="str">
        <f t="shared" si="21"/>
        <v>No</v>
      </c>
      <c r="R67" s="3" t="str">
        <f t="shared" si="22"/>
        <v>No</v>
      </c>
      <c r="S67" s="3" t="str">
        <f t="shared" si="23"/>
        <v>No</v>
      </c>
    </row>
    <row r="68" spans="1:19" x14ac:dyDescent="0.25">
      <c r="A68" s="7" t="s">
        <v>270</v>
      </c>
      <c r="B68" s="13">
        <v>850</v>
      </c>
      <c r="C68" s="13">
        <v>1700</v>
      </c>
      <c r="D68" s="13" t="str">
        <f>IF(tblProducts[[#This Row],[Current Price]]="","Missing",IF(tblProducts[[#This Row],[Current Price]]&lt;=Price_Q1,"Low Price",IF(tblProducts[[#This Row],[Current Price]]&lt;=Price_Q3,"Medium Price","High Price")))</f>
        <v>Medium Price</v>
      </c>
      <c r="E68" s="8">
        <f t="shared" si="16"/>
        <v>850</v>
      </c>
      <c r="F68" s="17">
        <f t="shared" si="17"/>
        <v>0.5</v>
      </c>
      <c r="G68" s="17">
        <v>0.5</v>
      </c>
      <c r="H68" s="17" t="str">
        <f>IF(tblProducts[[#This Row],[Advertised Discount]]="","Missing",IF(tblProducts[[#This Row],[Advertised Discount]]&lt;20%,"Low Discount",IF(tblProducts[[#This Row],[Advertised Discount]]&lt;=40%,"Medium Discount","High Discount")))</f>
        <v>High Discount</v>
      </c>
      <c r="I68" s="17" t="str" cm="1">
        <f t="array" ref="I68">IF(OR(tblProducts[Advertised Discount]&lt;0%,tblProducts[Advertised Discount]&gt;100%),"Check rating","OK")</f>
        <v>OK</v>
      </c>
      <c r="J68" s="2"/>
      <c r="K68" s="9" t="s">
        <v>78</v>
      </c>
      <c r="L68" s="3" t="str">
        <f>IF(tblProducts[[#This Row],[Rating]]="","Missing",IF(tblProducts[[#This Row],[Rating]]&lt;3,"Poor",IF(tblProducts[[#This Row],[Rating]]&lt;=4.5,"Average","Excellent")))</f>
        <v>Missing</v>
      </c>
      <c r="M68" s="3" t="str">
        <f>IF(OR(tblProducts[[#This Row],[Rating]]&lt;0,tblProducts[[#This Row],[Rating]]&gt;5),"Check rating","OK")</f>
        <v>Check rating</v>
      </c>
      <c r="N68" s="3" t="str">
        <f t="shared" si="18"/>
        <v>Missing rating and review</v>
      </c>
      <c r="O68" s="3" t="str">
        <f t="shared" si="19"/>
        <v>Weak Engagement</v>
      </c>
      <c r="P68" s="3" t="str">
        <f t="shared" si="20"/>
        <v>Missing</v>
      </c>
      <c r="Q68" s="3" t="str">
        <f t="shared" si="21"/>
        <v>Missing</v>
      </c>
      <c r="R68" s="3" t="str">
        <f t="shared" si="22"/>
        <v>Missing</v>
      </c>
      <c r="S68" s="3" t="str">
        <f t="shared" si="23"/>
        <v>Missing</v>
      </c>
    </row>
    <row r="69" spans="1:19" x14ac:dyDescent="0.25">
      <c r="A69" s="7" t="s">
        <v>176</v>
      </c>
      <c r="B69" s="13">
        <v>799</v>
      </c>
      <c r="C69" s="13">
        <v>1567</v>
      </c>
      <c r="D69" s="13" t="str">
        <f>IF(tblProducts[[#This Row],[Current Price]]="","Missing",IF(tblProducts[[#This Row],[Current Price]]&lt;=Price_Q1,"Low Price",IF(tblProducts[[#This Row],[Current Price]]&lt;=Price_Q3,"Medium Price","High Price")))</f>
        <v>Medium Price</v>
      </c>
      <c r="E69" s="8">
        <f t="shared" si="16"/>
        <v>768</v>
      </c>
      <c r="F69" s="17">
        <f t="shared" si="17"/>
        <v>0.49010848755583919</v>
      </c>
      <c r="G69" s="17">
        <v>0.49</v>
      </c>
      <c r="H69" s="17" t="str">
        <f>IF(tblProducts[[#This Row],[Advertised Discount]]="","Missing",IF(tblProducts[[#This Row],[Advertised Discount]]&lt;20%,"Low Discount",IF(tblProducts[[#This Row],[Advertised Discount]]&lt;=40%,"Medium Discount","High Discount")))</f>
        <v>High Discount</v>
      </c>
      <c r="I69" s="17" t="str" cm="1">
        <f t="array" ref="I69">IF(OR(tblProducts[Advertised Discount]&lt;0%,tblProducts[Advertised Discount]&gt;100%),"Check rating","OK")</f>
        <v>OK</v>
      </c>
      <c r="J69" s="2"/>
      <c r="K69" s="9" t="s">
        <v>78</v>
      </c>
      <c r="L69" s="3" t="str">
        <f>IF(tblProducts[[#This Row],[Rating]]="","Missing",IF(tblProducts[[#This Row],[Rating]]&lt;3,"Poor",IF(tblProducts[[#This Row],[Rating]]&lt;=4.5,"Average","Excellent")))</f>
        <v>Missing</v>
      </c>
      <c r="M69" s="3" t="str">
        <f>IF(OR(tblProducts[[#This Row],[Rating]]&lt;0,tblProducts[[#This Row],[Rating]]&gt;5),"Check rating","OK")</f>
        <v>Check rating</v>
      </c>
      <c r="N69" s="3" t="str">
        <f t="shared" si="18"/>
        <v>Missing rating and review</v>
      </c>
      <c r="O69" s="3" t="str">
        <f t="shared" si="19"/>
        <v>Weak Engagement</v>
      </c>
      <c r="P69" s="3" t="str">
        <f t="shared" si="20"/>
        <v>Missing</v>
      </c>
      <c r="Q69" s="3" t="str">
        <f t="shared" si="21"/>
        <v>Missing</v>
      </c>
      <c r="R69" s="3" t="str">
        <f t="shared" si="22"/>
        <v>Missing</v>
      </c>
      <c r="S69" s="3" t="str">
        <f t="shared" si="23"/>
        <v>Missing</v>
      </c>
    </row>
    <row r="70" spans="1:19" x14ac:dyDescent="0.25">
      <c r="A70" s="7" t="s">
        <v>42</v>
      </c>
      <c r="B70" s="13">
        <v>799</v>
      </c>
      <c r="C70" s="13">
        <v>999</v>
      </c>
      <c r="D70" s="13" t="str">
        <f>IF(tblProducts[[#This Row],[Current Price]]="","Missing",IF(tblProducts[[#This Row],[Current Price]]&lt;=Price_Q1,"Low Price",IF(tblProducts[[#This Row],[Current Price]]&lt;=Price_Q3,"Medium Price","High Price")))</f>
        <v>Medium Price</v>
      </c>
      <c r="E70" s="8">
        <f t="shared" si="16"/>
        <v>200</v>
      </c>
      <c r="F70" s="17">
        <f t="shared" si="17"/>
        <v>0.20020020020020021</v>
      </c>
      <c r="G70" s="17">
        <v>0.2</v>
      </c>
      <c r="H70" s="17" t="str">
        <f>IF(tblProducts[[#This Row],[Advertised Discount]]="","Missing",IF(tblProducts[[#This Row],[Advertised Discount]]&lt;20%,"Low Discount",IF(tblProducts[[#This Row],[Advertised Discount]]&lt;=40%,"Medium Discount","High Discount")))</f>
        <v>Medium Discount</v>
      </c>
      <c r="I70" s="17" t="str" cm="1">
        <f t="array" ref="I70">IF(OR(tblProducts[Advertised Discount]&lt;0%,tblProducts[Advertised Discount]&gt;100%),"Check rating","OK")</f>
        <v>OK</v>
      </c>
      <c r="J70" s="2">
        <v>12</v>
      </c>
      <c r="K70" s="9">
        <v>4.0999999999999996</v>
      </c>
      <c r="L70" s="3" t="str">
        <f>IF(tblProducts[[#This Row],[Rating]]="","Missing",IF(tblProducts[[#This Row],[Rating]]&lt;3,"Poor",IF(tblProducts[[#This Row],[Rating]]&lt;=4.5,"Average","Excellent")))</f>
        <v>Average</v>
      </c>
      <c r="M70" s="3" t="str">
        <f>IF(OR(tblProducts[[#This Row],[Rating]]&lt;0,tblProducts[[#This Row],[Rating]]&gt;5),"Check rating","OK")</f>
        <v>OK</v>
      </c>
      <c r="N70" s="3" t="str">
        <f t="shared" si="18"/>
        <v>Complete</v>
      </c>
      <c r="O70" s="3" t="str">
        <f t="shared" si="19"/>
        <v>Weak Engagement</v>
      </c>
      <c r="P70" s="3" t="str">
        <f t="shared" si="20"/>
        <v>No</v>
      </c>
      <c r="Q70" s="3" t="str">
        <f t="shared" si="21"/>
        <v>No</v>
      </c>
      <c r="R70" s="3" t="str">
        <f t="shared" si="22"/>
        <v>No</v>
      </c>
      <c r="S70" s="3" t="str">
        <f t="shared" si="23"/>
        <v>No</v>
      </c>
    </row>
    <row r="71" spans="1:19" x14ac:dyDescent="0.25">
      <c r="A71" s="7" t="s">
        <v>169</v>
      </c>
      <c r="B71" s="13">
        <v>799</v>
      </c>
      <c r="C71" s="13">
        <v>1343</v>
      </c>
      <c r="D71" s="13" t="str">
        <f>IF(tblProducts[[#This Row],[Current Price]]="","Missing",IF(tblProducts[[#This Row],[Current Price]]&lt;=Price_Q1,"Low Price",IF(tblProducts[[#This Row],[Current Price]]&lt;=Price_Q3,"Medium Price","High Price")))</f>
        <v>Medium Price</v>
      </c>
      <c r="E71" s="8">
        <f t="shared" si="16"/>
        <v>544</v>
      </c>
      <c r="F71" s="17">
        <f t="shared" si="17"/>
        <v>0.4050632911392405</v>
      </c>
      <c r="G71" s="17">
        <v>0.41</v>
      </c>
      <c r="H71" s="17" t="str">
        <f>IF(tblProducts[[#This Row],[Advertised Discount]]="","Missing",IF(tblProducts[[#This Row],[Advertised Discount]]&lt;20%,"Low Discount",IF(tblProducts[[#This Row],[Advertised Discount]]&lt;=40%,"Medium Discount","High Discount")))</f>
        <v>High Discount</v>
      </c>
      <c r="I71" s="17" t="str" cm="1">
        <f t="array" ref="I71">IF(OR(tblProducts[Advertised Discount]&lt;0%,tblProducts[Advertised Discount]&gt;100%),"Check rating","OK")</f>
        <v>OK</v>
      </c>
      <c r="J71" s="2"/>
      <c r="K71" s="9" t="s">
        <v>78</v>
      </c>
      <c r="L71" s="3" t="str">
        <f>IF(tblProducts[[#This Row],[Rating]]="","Missing",IF(tblProducts[[#This Row],[Rating]]&lt;3,"Poor",IF(tblProducts[[#This Row],[Rating]]&lt;=4.5,"Average","Excellent")))</f>
        <v>Missing</v>
      </c>
      <c r="M71" s="3" t="str">
        <f>IF(OR(tblProducts[[#This Row],[Rating]]&lt;0,tblProducts[[#This Row],[Rating]]&gt;5),"Check rating","OK")</f>
        <v>Check rating</v>
      </c>
      <c r="N71" s="3" t="str">
        <f t="shared" si="18"/>
        <v>Missing rating and review</v>
      </c>
      <c r="O71" s="3" t="str">
        <f t="shared" si="19"/>
        <v>Weak Engagement</v>
      </c>
      <c r="P71" s="3" t="str">
        <f t="shared" si="20"/>
        <v>Missing</v>
      </c>
      <c r="Q71" s="3" t="str">
        <f t="shared" si="21"/>
        <v>Missing</v>
      </c>
      <c r="R71" s="3" t="str">
        <f t="shared" si="22"/>
        <v>Missing</v>
      </c>
      <c r="S71" s="3" t="str">
        <f t="shared" si="23"/>
        <v>Missing</v>
      </c>
    </row>
    <row r="72" spans="1:19" x14ac:dyDescent="0.25">
      <c r="A72" s="7" t="s">
        <v>262</v>
      </c>
      <c r="B72" s="13">
        <v>799</v>
      </c>
      <c r="C72" s="13">
        <v>900</v>
      </c>
      <c r="D72" s="13" t="str">
        <f>IF(tblProducts[[#This Row],[Current Price]]="","Missing",IF(tblProducts[[#This Row],[Current Price]]&lt;=Price_Q1,"Low Price",IF(tblProducts[[#This Row],[Current Price]]&lt;=Price_Q3,"Medium Price","High Price")))</f>
        <v>Medium Price</v>
      </c>
      <c r="E72" s="8">
        <f t="shared" si="16"/>
        <v>101</v>
      </c>
      <c r="F72" s="17">
        <f t="shared" si="17"/>
        <v>0.11222222222222222</v>
      </c>
      <c r="G72" s="17">
        <v>0.11</v>
      </c>
      <c r="H72" s="17" t="str">
        <f>IF(tblProducts[[#This Row],[Advertised Discount]]="","Missing",IF(tblProducts[[#This Row],[Advertised Discount]]&lt;20%,"Low Discount",IF(tblProducts[[#This Row],[Advertised Discount]]&lt;=40%,"Medium Discount","High Discount")))</f>
        <v>Low Discount</v>
      </c>
      <c r="I72" s="17" t="str" cm="1">
        <f t="array" ref="I72">IF(OR(tblProducts[Advertised Discount]&lt;0%,tblProducts[Advertised Discount]&gt;100%),"Check rating","OK")</f>
        <v>OK</v>
      </c>
      <c r="J72" s="2"/>
      <c r="K72" s="9" t="s">
        <v>78</v>
      </c>
      <c r="L72" s="3" t="str">
        <f>IF(tblProducts[[#This Row],[Rating]]="","Missing",IF(tblProducts[[#This Row],[Rating]]&lt;3,"Poor",IF(tblProducts[[#This Row],[Rating]]&lt;=4.5,"Average","Excellent")))</f>
        <v>Missing</v>
      </c>
      <c r="M72" s="3" t="str">
        <f>IF(OR(tblProducts[[#This Row],[Rating]]&lt;0,tblProducts[[#This Row],[Rating]]&gt;5),"Check rating","OK")</f>
        <v>Check rating</v>
      </c>
      <c r="N72" s="3" t="str">
        <f t="shared" si="18"/>
        <v>Missing rating and review</v>
      </c>
      <c r="O72" s="3" t="str">
        <f t="shared" si="19"/>
        <v>Weak Engagement</v>
      </c>
      <c r="P72" s="3" t="str">
        <f t="shared" si="20"/>
        <v>Missing</v>
      </c>
      <c r="Q72" s="3" t="str">
        <f t="shared" si="21"/>
        <v>Missing</v>
      </c>
      <c r="R72" s="3" t="str">
        <f t="shared" si="22"/>
        <v>Missing</v>
      </c>
      <c r="S72" s="3" t="str">
        <f t="shared" si="23"/>
        <v>Missing</v>
      </c>
    </row>
    <row r="73" spans="1:19" x14ac:dyDescent="0.25">
      <c r="A73" s="7" t="s">
        <v>233</v>
      </c>
      <c r="B73" s="13">
        <v>790</v>
      </c>
      <c r="C73" s="13">
        <v>1485</v>
      </c>
      <c r="D73" s="13" t="str">
        <f>IF(tblProducts[[#This Row],[Current Price]]="","Missing",IF(tblProducts[[#This Row],[Current Price]]&lt;=Price_Q1,"Low Price",IF(tblProducts[[#This Row],[Current Price]]&lt;=Price_Q3,"Medium Price","High Price")))</f>
        <v>Medium Price</v>
      </c>
      <c r="E73" s="8">
        <f t="shared" si="16"/>
        <v>695</v>
      </c>
      <c r="F73" s="17">
        <f t="shared" si="17"/>
        <v>0.46801346801346799</v>
      </c>
      <c r="G73" s="17">
        <v>0.47</v>
      </c>
      <c r="H73" s="17" t="str">
        <f>IF(tblProducts[[#This Row],[Advertised Discount]]="","Missing",IF(tblProducts[[#This Row],[Advertised Discount]]&lt;20%,"Low Discount",IF(tblProducts[[#This Row],[Advertised Discount]]&lt;=40%,"Medium Discount","High Discount")))</f>
        <v>High Discount</v>
      </c>
      <c r="I73" s="17" t="str" cm="1">
        <f t="array" ref="I73">IF(OR(tblProducts[Advertised Discount]&lt;0%,tblProducts[Advertised Discount]&gt;100%),"Check rating","OK")</f>
        <v>OK</v>
      </c>
      <c r="J73" s="2"/>
      <c r="K73" s="9" t="s">
        <v>78</v>
      </c>
      <c r="L73" s="3" t="str">
        <f>IF(tblProducts[[#This Row],[Rating]]="","Missing",IF(tblProducts[[#This Row],[Rating]]&lt;3,"Poor",IF(tblProducts[[#This Row],[Rating]]&lt;=4.5,"Average","Excellent")))</f>
        <v>Missing</v>
      </c>
      <c r="M73" s="3" t="str">
        <f>IF(OR(tblProducts[[#This Row],[Rating]]&lt;0,tblProducts[[#This Row],[Rating]]&gt;5),"Check rating","OK")</f>
        <v>Check rating</v>
      </c>
      <c r="N73" s="3" t="str">
        <f t="shared" si="18"/>
        <v>Missing rating and review</v>
      </c>
      <c r="O73" s="3" t="str">
        <f t="shared" si="19"/>
        <v>Weak Engagement</v>
      </c>
      <c r="P73" s="3" t="str">
        <f t="shared" si="20"/>
        <v>Missing</v>
      </c>
      <c r="Q73" s="3" t="str">
        <f t="shared" si="21"/>
        <v>Missing</v>
      </c>
      <c r="R73" s="3" t="str">
        <f t="shared" si="22"/>
        <v>Missing</v>
      </c>
      <c r="S73" s="3" t="str">
        <f t="shared" si="23"/>
        <v>Missing</v>
      </c>
    </row>
    <row r="74" spans="1:19" x14ac:dyDescent="0.25">
      <c r="A74" s="7" t="s">
        <v>174</v>
      </c>
      <c r="B74" s="13">
        <v>699</v>
      </c>
      <c r="C74" s="13">
        <v>1343</v>
      </c>
      <c r="D74" s="13" t="str">
        <f>IF(tblProducts[[#This Row],[Current Price]]="","Missing",IF(tblProducts[[#This Row],[Current Price]]&lt;=Price_Q1,"Low Price",IF(tblProducts[[#This Row],[Current Price]]&lt;=Price_Q3,"Medium Price","High Price")))</f>
        <v>Medium Price</v>
      </c>
      <c r="E74" s="8">
        <f t="shared" si="16"/>
        <v>644</v>
      </c>
      <c r="F74" s="17">
        <f t="shared" si="17"/>
        <v>0.47952345495160087</v>
      </c>
      <c r="G74" s="17">
        <v>0.48</v>
      </c>
      <c r="H74" s="17" t="str">
        <f>IF(tblProducts[[#This Row],[Advertised Discount]]="","Missing",IF(tblProducts[[#This Row],[Advertised Discount]]&lt;20%,"Low Discount",IF(tblProducts[[#This Row],[Advertised Discount]]&lt;=40%,"Medium Discount","High Discount")))</f>
        <v>High Discount</v>
      </c>
      <c r="I74" s="17" t="str" cm="1">
        <f t="array" ref="I74">IF(OR(tblProducts[Advertised Discount]&lt;0%,tblProducts[Advertised Discount]&gt;100%),"Check rating","OK")</f>
        <v>OK</v>
      </c>
      <c r="J74" s="2"/>
      <c r="K74" s="9" t="s">
        <v>78</v>
      </c>
      <c r="L74" s="3" t="str">
        <f>IF(tblProducts[[#This Row],[Rating]]="","Missing",IF(tblProducts[[#This Row],[Rating]]&lt;3,"Poor",IF(tblProducts[[#This Row],[Rating]]&lt;=4.5,"Average","Excellent")))</f>
        <v>Missing</v>
      </c>
      <c r="M74" s="3" t="str">
        <f>IF(OR(tblProducts[[#This Row],[Rating]]&lt;0,tblProducts[[#This Row],[Rating]]&gt;5),"Check rating","OK")</f>
        <v>Check rating</v>
      </c>
      <c r="N74" s="3" t="str">
        <f t="shared" si="18"/>
        <v>Missing rating and review</v>
      </c>
      <c r="O74" s="3" t="str">
        <f t="shared" si="19"/>
        <v>Weak Engagement</v>
      </c>
      <c r="P74" s="3" t="str">
        <f t="shared" si="20"/>
        <v>Missing</v>
      </c>
      <c r="Q74" s="3" t="str">
        <f t="shared" si="21"/>
        <v>Missing</v>
      </c>
      <c r="R74" s="3" t="str">
        <f t="shared" si="22"/>
        <v>Missing</v>
      </c>
      <c r="S74" s="3" t="str">
        <f t="shared" si="23"/>
        <v>Missing</v>
      </c>
    </row>
    <row r="75" spans="1:19" x14ac:dyDescent="0.25">
      <c r="A75" s="7" t="s">
        <v>236</v>
      </c>
      <c r="B75" s="13">
        <v>690</v>
      </c>
      <c r="C75" s="13">
        <v>1200</v>
      </c>
      <c r="D75" s="13" t="str">
        <f>IF(tblProducts[[#This Row],[Current Price]]="","Missing",IF(tblProducts[[#This Row],[Current Price]]&lt;=Price_Q1,"Low Price",IF(tblProducts[[#This Row],[Current Price]]&lt;=Price_Q3,"Medium Price","High Price")))</f>
        <v>Medium Price</v>
      </c>
      <c r="E75" s="8">
        <f t="shared" si="16"/>
        <v>510</v>
      </c>
      <c r="F75" s="17">
        <f t="shared" si="17"/>
        <v>0.42499999999999999</v>
      </c>
      <c r="G75" s="17">
        <v>0.43</v>
      </c>
      <c r="H75" s="17" t="str">
        <f>IF(tblProducts[[#This Row],[Advertised Discount]]="","Missing",IF(tblProducts[[#This Row],[Advertised Discount]]&lt;20%,"Low Discount",IF(tblProducts[[#This Row],[Advertised Discount]]&lt;=40%,"Medium Discount","High Discount")))</f>
        <v>High Discount</v>
      </c>
      <c r="I75" s="17" t="str" cm="1">
        <f t="array" ref="I75">IF(OR(tblProducts[Advertised Discount]&lt;0%,tblProducts[Advertised Discount]&gt;100%),"Check rating","OK")</f>
        <v>OK</v>
      </c>
      <c r="J75" s="2"/>
      <c r="K75" s="9" t="s">
        <v>78</v>
      </c>
      <c r="L75" s="3" t="str">
        <f>IF(tblProducts[[#This Row],[Rating]]="","Missing",IF(tblProducts[[#This Row],[Rating]]&lt;3,"Poor",IF(tblProducts[[#This Row],[Rating]]&lt;=4.5,"Average","Excellent")))</f>
        <v>Missing</v>
      </c>
      <c r="M75" s="3" t="str">
        <f>IF(OR(tblProducts[[#This Row],[Rating]]&lt;0,tblProducts[[#This Row],[Rating]]&gt;5),"Check rating","OK")</f>
        <v>Check rating</v>
      </c>
      <c r="N75" s="3" t="str">
        <f t="shared" si="18"/>
        <v>Missing rating and review</v>
      </c>
      <c r="O75" s="3" t="str">
        <f t="shared" si="19"/>
        <v>Weak Engagement</v>
      </c>
      <c r="P75" s="3" t="str">
        <f t="shared" si="20"/>
        <v>Missing</v>
      </c>
      <c r="Q75" s="3" t="str">
        <f t="shared" si="21"/>
        <v>Missing</v>
      </c>
      <c r="R75" s="3" t="str">
        <f t="shared" si="22"/>
        <v>Missing</v>
      </c>
      <c r="S75" s="3" t="str">
        <f t="shared" si="23"/>
        <v>Missing</v>
      </c>
    </row>
    <row r="76" spans="1:19" x14ac:dyDescent="0.25">
      <c r="A76" s="7" t="s">
        <v>149</v>
      </c>
      <c r="B76" s="13">
        <v>671</v>
      </c>
      <c r="C76" s="13">
        <v>1316</v>
      </c>
      <c r="D76" s="13" t="str">
        <f>IF(tblProducts[[#This Row],[Current Price]]="","Missing",IF(tblProducts[[#This Row],[Current Price]]&lt;=Price_Q1,"Low Price",IF(tblProducts[[#This Row],[Current Price]]&lt;=Price_Q3,"Medium Price","High Price")))</f>
        <v>Medium Price</v>
      </c>
      <c r="E76" s="8">
        <f t="shared" si="16"/>
        <v>645</v>
      </c>
      <c r="F76" s="17">
        <f t="shared" si="17"/>
        <v>0.49012158054711247</v>
      </c>
      <c r="G76" s="17">
        <v>0.49</v>
      </c>
      <c r="H76" s="17" t="str">
        <f>IF(tblProducts[[#This Row],[Advertised Discount]]="","Missing",IF(tblProducts[[#This Row],[Advertised Discount]]&lt;20%,"Low Discount",IF(tblProducts[[#This Row],[Advertised Discount]]&lt;=40%,"Medium Discount","High Discount")))</f>
        <v>High Discount</v>
      </c>
      <c r="I76" s="17" t="str" cm="1">
        <f t="array" ref="I76">IF(OR(tblProducts[Advertised Discount]&lt;0%,tblProducts[Advertised Discount]&gt;100%),"Check rating","OK")</f>
        <v>OK</v>
      </c>
      <c r="J76" s="2"/>
      <c r="K76" s="9" t="s">
        <v>78</v>
      </c>
      <c r="L76" s="3" t="str">
        <f>IF(tblProducts[[#This Row],[Rating]]="","Missing",IF(tblProducts[[#This Row],[Rating]]&lt;3,"Poor",IF(tblProducts[[#This Row],[Rating]]&lt;=4.5,"Average","Excellent")))</f>
        <v>Missing</v>
      </c>
      <c r="M76" s="3" t="str">
        <f>IF(OR(tblProducts[[#This Row],[Rating]]&lt;0,tblProducts[[#This Row],[Rating]]&gt;5),"Check rating","OK")</f>
        <v>Check rating</v>
      </c>
      <c r="N76" s="3" t="str">
        <f t="shared" si="18"/>
        <v>Missing rating and review</v>
      </c>
      <c r="O76" s="3" t="str">
        <f t="shared" si="19"/>
        <v>Weak Engagement</v>
      </c>
      <c r="P76" s="3" t="str">
        <f t="shared" si="20"/>
        <v>Missing</v>
      </c>
      <c r="Q76" s="3" t="str">
        <f t="shared" si="21"/>
        <v>Missing</v>
      </c>
      <c r="R76" s="3" t="str">
        <f t="shared" si="22"/>
        <v>Missing</v>
      </c>
      <c r="S76" s="3" t="str">
        <f t="shared" si="23"/>
        <v>Missing</v>
      </c>
    </row>
    <row r="77" spans="1:19" x14ac:dyDescent="0.25">
      <c r="A77" s="7" t="s">
        <v>176</v>
      </c>
      <c r="B77" s="13">
        <v>657</v>
      </c>
      <c r="C77" s="13">
        <v>1288</v>
      </c>
      <c r="D77" s="13" t="str">
        <f>IF(tblProducts[[#This Row],[Current Price]]="","Missing",IF(tblProducts[[#This Row],[Current Price]]&lt;=Price_Q1,"Low Price",IF(tblProducts[[#This Row],[Current Price]]&lt;=Price_Q3,"Medium Price","High Price")))</f>
        <v>Medium Price</v>
      </c>
      <c r="E77" s="8">
        <f t="shared" si="16"/>
        <v>631</v>
      </c>
      <c r="F77" s="17">
        <f t="shared" si="17"/>
        <v>0.48990683229813664</v>
      </c>
      <c r="G77" s="17">
        <v>0.49</v>
      </c>
      <c r="H77" s="17" t="str">
        <f>IF(tblProducts[[#This Row],[Advertised Discount]]="","Missing",IF(tblProducts[[#This Row],[Advertised Discount]]&lt;20%,"Low Discount",IF(tblProducts[[#This Row],[Advertised Discount]]&lt;=40%,"Medium Discount","High Discount")))</f>
        <v>High Discount</v>
      </c>
      <c r="I77" s="17" t="str" cm="1">
        <f t="array" ref="I77">IF(OR(tblProducts[Advertised Discount]&lt;0%,tblProducts[Advertised Discount]&gt;100%),"Check rating","OK")</f>
        <v>OK</v>
      </c>
      <c r="J77" s="2"/>
      <c r="K77" s="9" t="s">
        <v>78</v>
      </c>
      <c r="L77" s="3" t="str">
        <f>IF(tblProducts[[#This Row],[Rating]]="","Missing",IF(tblProducts[[#This Row],[Rating]]&lt;3,"Poor",IF(tblProducts[[#This Row],[Rating]]&lt;=4.5,"Average","Excellent")))</f>
        <v>Missing</v>
      </c>
      <c r="M77" s="3" t="str">
        <f>IF(OR(tblProducts[[#This Row],[Rating]]&lt;0,tblProducts[[#This Row],[Rating]]&gt;5),"Check rating","OK")</f>
        <v>Check rating</v>
      </c>
      <c r="N77" s="3" t="str">
        <f t="shared" si="18"/>
        <v>Missing rating and review</v>
      </c>
      <c r="O77" s="3" t="str">
        <f t="shared" si="19"/>
        <v>Weak Engagement</v>
      </c>
      <c r="P77" s="3" t="str">
        <f t="shared" si="20"/>
        <v>Missing</v>
      </c>
      <c r="Q77" s="3" t="str">
        <f t="shared" si="21"/>
        <v>Missing</v>
      </c>
      <c r="R77" s="3" t="str">
        <f t="shared" si="22"/>
        <v>Missing</v>
      </c>
      <c r="S77" s="3" t="str">
        <f t="shared" si="23"/>
        <v>Missing</v>
      </c>
    </row>
    <row r="78" spans="1:19" x14ac:dyDescent="0.25">
      <c r="A78" s="7" t="s">
        <v>267</v>
      </c>
      <c r="B78" s="13">
        <v>630</v>
      </c>
      <c r="C78" s="13">
        <v>1100</v>
      </c>
      <c r="D78" s="13" t="str">
        <f>IF(tblProducts[[#This Row],[Current Price]]="","Missing",IF(tblProducts[[#This Row],[Current Price]]&lt;=Price_Q1,"Low Price",IF(tblProducts[[#This Row],[Current Price]]&lt;=Price_Q3,"Medium Price","High Price")))</f>
        <v>Medium Price</v>
      </c>
      <c r="E78" s="8">
        <f t="shared" si="16"/>
        <v>470</v>
      </c>
      <c r="F78" s="17">
        <f t="shared" si="17"/>
        <v>0.42727272727272725</v>
      </c>
      <c r="G78" s="17">
        <v>0.43</v>
      </c>
      <c r="H78" s="17" t="str">
        <f>IF(tblProducts[[#This Row],[Advertised Discount]]="","Missing",IF(tblProducts[[#This Row],[Advertised Discount]]&lt;20%,"Low Discount",IF(tblProducts[[#This Row],[Advertised Discount]]&lt;=40%,"Medium Discount","High Discount")))</f>
        <v>High Discount</v>
      </c>
      <c r="I78" s="17" t="str" cm="1">
        <f t="array" ref="I78">IF(OR(tblProducts[Advertised Discount]&lt;0%,tblProducts[Advertised Discount]&gt;100%),"Check rating","OK")</f>
        <v>OK</v>
      </c>
      <c r="J78" s="2"/>
      <c r="K78" s="9" t="s">
        <v>78</v>
      </c>
      <c r="L78" s="3" t="str">
        <f>IF(tblProducts[[#This Row],[Rating]]="","Missing",IF(tblProducts[[#This Row],[Rating]]&lt;3,"Poor",IF(tblProducts[[#This Row],[Rating]]&lt;=4.5,"Average","Excellent")))</f>
        <v>Missing</v>
      </c>
      <c r="M78" s="3" t="str">
        <f>IF(OR(tblProducts[[#This Row],[Rating]]&lt;0,tblProducts[[#This Row],[Rating]]&gt;5),"Check rating","OK")</f>
        <v>Check rating</v>
      </c>
      <c r="N78" s="3" t="str">
        <f t="shared" si="18"/>
        <v>Missing rating and review</v>
      </c>
      <c r="O78" s="3" t="str">
        <f t="shared" si="19"/>
        <v>Weak Engagement</v>
      </c>
      <c r="P78" s="3" t="str">
        <f t="shared" si="20"/>
        <v>Missing</v>
      </c>
      <c r="Q78" s="3" t="str">
        <f t="shared" si="21"/>
        <v>Missing</v>
      </c>
      <c r="R78" s="3" t="str">
        <f t="shared" si="22"/>
        <v>Missing</v>
      </c>
      <c r="S78" s="3" t="str">
        <f t="shared" si="23"/>
        <v>Missing</v>
      </c>
    </row>
    <row r="79" spans="1:19" x14ac:dyDescent="0.25">
      <c r="A79" s="7" t="s">
        <v>138</v>
      </c>
      <c r="B79" s="13">
        <v>610</v>
      </c>
      <c r="C79" s="13">
        <v>1060</v>
      </c>
      <c r="D79" s="13" t="str">
        <f>IF(tblProducts[[#This Row],[Current Price]]="","Missing",IF(tblProducts[[#This Row],[Current Price]]&lt;=Price_Q1,"Low Price",IF(tblProducts[[#This Row],[Current Price]]&lt;=Price_Q3,"Medium Price","High Price")))</f>
        <v>Medium Price</v>
      </c>
      <c r="E79" s="8">
        <f t="shared" si="16"/>
        <v>450</v>
      </c>
      <c r="F79" s="17">
        <f t="shared" si="17"/>
        <v>0.42452830188679247</v>
      </c>
      <c r="G79" s="17">
        <v>0.42</v>
      </c>
      <c r="H79" s="17" t="str">
        <f>IF(tblProducts[[#This Row],[Advertised Discount]]="","Missing",IF(tblProducts[[#This Row],[Advertised Discount]]&lt;20%,"Low Discount",IF(tblProducts[[#This Row],[Advertised Discount]]&lt;=40%,"Medium Discount","High Discount")))</f>
        <v>High Discount</v>
      </c>
      <c r="I79" s="17" t="str" cm="1">
        <f t="array" ref="I79">IF(OR(tblProducts[Advertised Discount]&lt;0%,tblProducts[Advertised Discount]&gt;100%),"Check rating","OK")</f>
        <v>OK</v>
      </c>
      <c r="J79" s="2"/>
      <c r="K79" s="9" t="s">
        <v>78</v>
      </c>
      <c r="L79" s="3" t="str">
        <f>IF(tblProducts[[#This Row],[Rating]]="","Missing",IF(tblProducts[[#This Row],[Rating]]&lt;3,"Poor",IF(tblProducts[[#This Row],[Rating]]&lt;=4.5,"Average","Excellent")))</f>
        <v>Missing</v>
      </c>
      <c r="M79" s="3" t="str">
        <f>IF(OR(tblProducts[[#This Row],[Rating]]&lt;0,tblProducts[[#This Row],[Rating]]&gt;5),"Check rating","OK")</f>
        <v>Check rating</v>
      </c>
      <c r="N79" s="3" t="str">
        <f t="shared" si="18"/>
        <v>Missing rating and review</v>
      </c>
      <c r="O79" s="3" t="str">
        <f t="shared" si="19"/>
        <v>Weak Engagement</v>
      </c>
      <c r="P79" s="3" t="str">
        <f t="shared" si="20"/>
        <v>Missing</v>
      </c>
      <c r="Q79" s="3" t="str">
        <f t="shared" si="21"/>
        <v>Missing</v>
      </c>
      <c r="R79" s="3" t="str">
        <f t="shared" si="22"/>
        <v>Missing</v>
      </c>
      <c r="S79" s="3" t="str">
        <f t="shared" si="23"/>
        <v>Missing</v>
      </c>
    </row>
    <row r="80" spans="1:19" x14ac:dyDescent="0.25">
      <c r="A80" s="7" t="s">
        <v>47</v>
      </c>
      <c r="B80" s="13">
        <v>552</v>
      </c>
      <c r="C80" s="13">
        <v>1035</v>
      </c>
      <c r="D80" s="13" t="str">
        <f>IF(tblProducts[[#This Row],[Current Price]]="","Missing",IF(tblProducts[[#This Row],[Current Price]]&lt;=Price_Q1,"Low Price",IF(tblProducts[[#This Row],[Current Price]]&lt;=Price_Q3,"Medium Price","High Price")))</f>
        <v>Medium Price</v>
      </c>
      <c r="E80" s="8">
        <f t="shared" si="16"/>
        <v>483</v>
      </c>
      <c r="F80" s="17">
        <f t="shared" si="17"/>
        <v>0.46666666666666667</v>
      </c>
      <c r="G80" s="17">
        <v>0.47</v>
      </c>
      <c r="H80" s="17" t="str">
        <f>IF(tblProducts[[#This Row],[Advertised Discount]]="","Missing",IF(tblProducts[[#This Row],[Advertised Discount]]&lt;20%,"Low Discount",IF(tblProducts[[#This Row],[Advertised Discount]]&lt;=40%,"Medium Discount","High Discount")))</f>
        <v>High Discount</v>
      </c>
      <c r="I80" s="17" t="str" cm="1">
        <f t="array" ref="I80">IF(OR(tblProducts[Advertised Discount]&lt;0%,tblProducts[Advertised Discount]&gt;100%),"Check rating","OK")</f>
        <v>OK</v>
      </c>
      <c r="J80" s="2">
        <v>12</v>
      </c>
      <c r="K80" s="9">
        <v>4.8</v>
      </c>
      <c r="L80" s="3" t="str">
        <f>IF(tblProducts[[#This Row],[Rating]]="","Missing",IF(tblProducts[[#This Row],[Rating]]&lt;3,"Poor",IF(tblProducts[[#This Row],[Rating]]&lt;=4.5,"Average","Excellent")))</f>
        <v>Excellent</v>
      </c>
      <c r="M80" s="3" t="str">
        <f>IF(OR(tblProducts[[#This Row],[Rating]]&lt;0,tblProducts[[#This Row],[Rating]]&gt;5),"Check rating","OK")</f>
        <v>OK</v>
      </c>
      <c r="N80" s="3" t="str">
        <f t="shared" si="18"/>
        <v>Complete</v>
      </c>
      <c r="O80" s="3" t="str">
        <f t="shared" si="19"/>
        <v>Weak Engagement</v>
      </c>
      <c r="P80" s="3" t="str">
        <f t="shared" si="20"/>
        <v>No</v>
      </c>
      <c r="Q80" s="3" t="str">
        <f t="shared" si="21"/>
        <v>Yes</v>
      </c>
      <c r="R80" s="3" t="str">
        <f t="shared" si="22"/>
        <v>No</v>
      </c>
      <c r="S80" s="3" t="str">
        <f t="shared" si="23"/>
        <v>No</v>
      </c>
    </row>
    <row r="81" spans="1:19" x14ac:dyDescent="0.25">
      <c r="A81" s="7" t="s">
        <v>10</v>
      </c>
      <c r="B81" s="13">
        <v>527</v>
      </c>
      <c r="C81" s="13">
        <v>999</v>
      </c>
      <c r="D81" s="13" t="str">
        <f>IF(tblProducts[[#This Row],[Current Price]]="","Missing",IF(tblProducts[[#This Row],[Current Price]]&lt;=Price_Q1,"Low Price",IF(tblProducts[[#This Row],[Current Price]]&lt;=Price_Q3,"Medium Price","High Price")))</f>
        <v>Medium Price</v>
      </c>
      <c r="E81" s="8">
        <f t="shared" si="16"/>
        <v>472</v>
      </c>
      <c r="F81" s="17">
        <f t="shared" si="17"/>
        <v>0.47247247247247248</v>
      </c>
      <c r="G81" s="17">
        <v>0.47</v>
      </c>
      <c r="H81" s="17" t="str">
        <f>IF(tblProducts[[#This Row],[Advertised Discount]]="","Missing",IF(tblProducts[[#This Row],[Advertised Discount]]&lt;20%,"Low Discount",IF(tblProducts[[#This Row],[Advertised Discount]]&lt;=40%,"Medium Discount","High Discount")))</f>
        <v>High Discount</v>
      </c>
      <c r="I81" s="17" t="str" cm="1">
        <f t="array" ref="I81">IF(OR(tblProducts[Advertised Discount]&lt;0%,tblProducts[Advertised Discount]&gt;100%),"Check rating","OK")</f>
        <v>OK</v>
      </c>
      <c r="J81" s="2">
        <v>14</v>
      </c>
      <c r="K81" s="9">
        <v>4.0999999999999996</v>
      </c>
      <c r="L81" s="3" t="str">
        <f>IF(tblProducts[[#This Row],[Rating]]="","Missing",IF(tblProducts[[#This Row],[Rating]]&lt;3,"Poor",IF(tblProducts[[#This Row],[Rating]]&lt;=4.5,"Average","Excellent")))</f>
        <v>Average</v>
      </c>
      <c r="M81" s="3" t="str">
        <f>IF(OR(tblProducts[[#This Row],[Rating]]&lt;0,tblProducts[[#This Row],[Rating]]&gt;5),"Check rating","OK")</f>
        <v>OK</v>
      </c>
      <c r="N81" s="3" t="str">
        <f t="shared" si="18"/>
        <v>Complete</v>
      </c>
      <c r="O81" s="3" t="str">
        <f t="shared" si="19"/>
        <v>Strong Engagement</v>
      </c>
      <c r="P81" s="3" t="str">
        <f t="shared" si="20"/>
        <v>No</v>
      </c>
      <c r="Q81" s="3" t="str">
        <f t="shared" si="21"/>
        <v>No</v>
      </c>
      <c r="R81" s="3" t="str">
        <f t="shared" si="22"/>
        <v>Yes</v>
      </c>
      <c r="S81" s="3" t="str">
        <f t="shared" si="23"/>
        <v>No</v>
      </c>
    </row>
    <row r="82" spans="1:19" x14ac:dyDescent="0.25">
      <c r="A82" s="7" t="s">
        <v>290</v>
      </c>
      <c r="B82" s="13">
        <v>525</v>
      </c>
      <c r="C82" s="13">
        <v>1029</v>
      </c>
      <c r="D82" s="13" t="str">
        <f>IF(tblProducts[[#This Row],[Current Price]]="","Missing",IF(tblProducts[[#This Row],[Current Price]]&lt;=Price_Q1,"Low Price",IF(tblProducts[[#This Row],[Current Price]]&lt;=Price_Q3,"Medium Price","High Price")))</f>
        <v>Medium Price</v>
      </c>
      <c r="E82" s="8">
        <f t="shared" si="16"/>
        <v>504</v>
      </c>
      <c r="F82" s="17">
        <f t="shared" si="17"/>
        <v>0.48979591836734693</v>
      </c>
      <c r="G82" s="17">
        <v>0.49</v>
      </c>
      <c r="H82" s="17" t="str">
        <f>IF(tblProducts[[#This Row],[Advertised Discount]]="","Missing",IF(tblProducts[[#This Row],[Advertised Discount]]&lt;20%,"Low Discount",IF(tblProducts[[#This Row],[Advertised Discount]]&lt;=40%,"Medium Discount","High Discount")))</f>
        <v>High Discount</v>
      </c>
      <c r="I82" s="17" t="str" cm="1">
        <f t="array" ref="I82">IF(OR(tblProducts[Advertised Discount]&lt;0%,tblProducts[Advertised Discount]&gt;100%),"Check rating","OK")</f>
        <v>OK</v>
      </c>
      <c r="J82" s="2"/>
      <c r="K82" s="9" t="s">
        <v>78</v>
      </c>
      <c r="L82" s="3" t="str">
        <f>IF(tblProducts[[#This Row],[Rating]]="","Missing",IF(tblProducts[[#This Row],[Rating]]&lt;3,"Poor",IF(tblProducts[[#This Row],[Rating]]&lt;=4.5,"Average","Excellent")))</f>
        <v>Missing</v>
      </c>
      <c r="M82" s="3" t="str">
        <f>IF(OR(tblProducts[[#This Row],[Rating]]&lt;0,tblProducts[[#This Row],[Rating]]&gt;5),"Check rating","OK")</f>
        <v>Check rating</v>
      </c>
      <c r="N82" s="3" t="str">
        <f t="shared" si="18"/>
        <v>Missing rating and review</v>
      </c>
      <c r="O82" s="3" t="str">
        <f t="shared" si="19"/>
        <v>Weak Engagement</v>
      </c>
      <c r="P82" s="3" t="str">
        <f t="shared" si="20"/>
        <v>Missing</v>
      </c>
      <c r="Q82" s="3" t="str">
        <f t="shared" si="21"/>
        <v>Missing</v>
      </c>
      <c r="R82" s="3" t="str">
        <f t="shared" si="22"/>
        <v>Missing</v>
      </c>
      <c r="S82" s="3" t="str">
        <f t="shared" si="23"/>
        <v>Missing</v>
      </c>
    </row>
    <row r="83" spans="1:19" x14ac:dyDescent="0.25">
      <c r="A83" s="7" t="s">
        <v>225</v>
      </c>
      <c r="B83" s="13">
        <v>509</v>
      </c>
      <c r="C83" s="13">
        <v>899</v>
      </c>
      <c r="D83" s="13" t="str">
        <f>IF(tblProducts[[#This Row],[Current Price]]="","Missing",IF(tblProducts[[#This Row],[Current Price]]&lt;=Price_Q1,"Low Price",IF(tblProducts[[#This Row],[Current Price]]&lt;=Price_Q3,"Medium Price","High Price")))</f>
        <v>Medium Price</v>
      </c>
      <c r="E83" s="8">
        <f t="shared" si="16"/>
        <v>390</v>
      </c>
      <c r="F83" s="17">
        <f t="shared" si="17"/>
        <v>0.43381535038932145</v>
      </c>
      <c r="G83" s="17">
        <v>0.43</v>
      </c>
      <c r="H83" s="17" t="str">
        <f>IF(tblProducts[[#This Row],[Advertised Discount]]="","Missing",IF(tblProducts[[#This Row],[Advertised Discount]]&lt;20%,"Low Discount",IF(tblProducts[[#This Row],[Advertised Discount]]&lt;=40%,"Medium Discount","High Discount")))</f>
        <v>High Discount</v>
      </c>
      <c r="I83" s="17" t="str" cm="1">
        <f t="array" ref="I83">IF(OR(tblProducts[Advertised Discount]&lt;0%,tblProducts[Advertised Discount]&gt;100%),"Check rating","OK")</f>
        <v>OK</v>
      </c>
      <c r="J83" s="2">
        <v>5</v>
      </c>
      <c r="K83" s="9">
        <v>3</v>
      </c>
      <c r="L83" s="3" t="str">
        <f>IF(tblProducts[[#This Row],[Rating]]="","Missing",IF(tblProducts[[#This Row],[Rating]]&lt;3,"Poor",IF(tblProducts[[#This Row],[Rating]]&lt;=4.5,"Average","Excellent")))</f>
        <v>Average</v>
      </c>
      <c r="M83" s="3" t="str">
        <f>IF(OR(tblProducts[[#This Row],[Rating]]&lt;0,tblProducts[[#This Row],[Rating]]&gt;5),"Check rating","OK")</f>
        <v>OK</v>
      </c>
      <c r="N83" s="3" t="str">
        <f t="shared" si="18"/>
        <v>Complete</v>
      </c>
      <c r="O83" s="3" t="str">
        <f t="shared" si="19"/>
        <v>Weak Engagement</v>
      </c>
      <c r="P83" s="3" t="str">
        <f t="shared" si="20"/>
        <v>No</v>
      </c>
      <c r="Q83" s="3" t="str">
        <f t="shared" si="21"/>
        <v>Yes</v>
      </c>
      <c r="R83" s="3" t="str">
        <f t="shared" si="22"/>
        <v>No</v>
      </c>
      <c r="S83" s="3" t="str">
        <f t="shared" si="23"/>
        <v>No</v>
      </c>
    </row>
    <row r="84" spans="1:19" x14ac:dyDescent="0.25">
      <c r="A84" s="7" t="s">
        <v>50</v>
      </c>
      <c r="B84" s="13">
        <v>501</v>
      </c>
      <c r="C84" s="13">
        <v>860</v>
      </c>
      <c r="D84" s="13" t="str">
        <f>IF(tblProducts[[#This Row],[Current Price]]="","Missing",IF(tblProducts[[#This Row],[Current Price]]&lt;=Price_Q1,"Low Price",IF(tblProducts[[#This Row],[Current Price]]&lt;=Price_Q3,"Medium Price","High Price")))</f>
        <v>Medium Price</v>
      </c>
      <c r="E84" s="8">
        <f t="shared" si="16"/>
        <v>359</v>
      </c>
      <c r="F84" s="17">
        <f t="shared" si="17"/>
        <v>0.41744186046511628</v>
      </c>
      <c r="G84" s="17">
        <v>0.42</v>
      </c>
      <c r="H84" s="17" t="str">
        <f>IF(tblProducts[[#This Row],[Advertised Discount]]="","Missing",IF(tblProducts[[#This Row],[Advertised Discount]]&lt;20%,"Low Discount",IF(tblProducts[[#This Row],[Advertised Discount]]&lt;=40%,"Medium Discount","High Discount")))</f>
        <v>High Discount</v>
      </c>
      <c r="I84" s="17" t="str" cm="1">
        <f t="array" ref="I84">IF(OR(tblProducts[Advertised Discount]&lt;0%,tblProducts[Advertised Discount]&gt;100%),"Check rating","OK")</f>
        <v>OK</v>
      </c>
      <c r="J84" s="2">
        <v>6</v>
      </c>
      <c r="K84" s="9">
        <v>4.5</v>
      </c>
      <c r="L84" s="3" t="str">
        <f>IF(tblProducts[[#This Row],[Rating]]="","Missing",IF(tblProducts[[#This Row],[Rating]]&lt;3,"Poor",IF(tblProducts[[#This Row],[Rating]]&lt;=4.5,"Average","Excellent")))</f>
        <v>Average</v>
      </c>
      <c r="M84" s="3" t="str">
        <f>IF(OR(tblProducts[[#This Row],[Rating]]&lt;0,tblProducts[[#This Row],[Rating]]&gt;5),"Check rating","OK")</f>
        <v>OK</v>
      </c>
      <c r="N84" s="3" t="str">
        <f t="shared" si="18"/>
        <v>Complete</v>
      </c>
      <c r="O84" s="3" t="str">
        <f t="shared" si="19"/>
        <v>Weak Engagement</v>
      </c>
      <c r="P84" s="3" t="str">
        <f t="shared" si="20"/>
        <v>No</v>
      </c>
      <c r="Q84" s="3" t="str">
        <f t="shared" si="21"/>
        <v>Yes</v>
      </c>
      <c r="R84" s="3" t="str">
        <f t="shared" si="22"/>
        <v>No</v>
      </c>
      <c r="S84" s="3" t="str">
        <f t="shared" si="23"/>
        <v>No</v>
      </c>
    </row>
    <row r="85" spans="1:19" x14ac:dyDescent="0.25">
      <c r="A85" s="7" t="s">
        <v>171</v>
      </c>
      <c r="B85" s="13">
        <v>499</v>
      </c>
      <c r="C85" s="13">
        <v>900</v>
      </c>
      <c r="D85" s="13" t="str">
        <f>IF(tblProducts[[#This Row],[Current Price]]="","Missing",IF(tblProducts[[#This Row],[Current Price]]&lt;=Price_Q1,"Low Price",IF(tblProducts[[#This Row],[Current Price]]&lt;=Price_Q3,"Medium Price","High Price")))</f>
        <v>Medium Price</v>
      </c>
      <c r="E85" s="8">
        <f t="shared" si="16"/>
        <v>401</v>
      </c>
      <c r="F85" s="17">
        <f t="shared" si="17"/>
        <v>0.44555555555555554</v>
      </c>
      <c r="G85" s="17">
        <v>0.45</v>
      </c>
      <c r="H85" s="17" t="str">
        <f>IF(tblProducts[[#This Row],[Advertised Discount]]="","Missing",IF(tblProducts[[#This Row],[Advertised Discount]]&lt;20%,"Low Discount",IF(tblProducts[[#This Row],[Advertised Discount]]&lt;=40%,"Medium Discount","High Discount")))</f>
        <v>High Discount</v>
      </c>
      <c r="I85" s="17" t="str" cm="1">
        <f t="array" ref="I85">IF(OR(tblProducts[Advertised Discount]&lt;0%,tblProducts[Advertised Discount]&gt;100%),"Check rating","OK")</f>
        <v>OK</v>
      </c>
      <c r="J85" s="2"/>
      <c r="K85" s="9" t="s">
        <v>78</v>
      </c>
      <c r="L85" s="3" t="str">
        <f>IF(tblProducts[[#This Row],[Rating]]="","Missing",IF(tblProducts[[#This Row],[Rating]]&lt;3,"Poor",IF(tblProducts[[#This Row],[Rating]]&lt;=4.5,"Average","Excellent")))</f>
        <v>Missing</v>
      </c>
      <c r="M85" s="3" t="str">
        <f>IF(OR(tblProducts[[#This Row],[Rating]]&lt;0,tblProducts[[#This Row],[Rating]]&gt;5),"Check rating","OK")</f>
        <v>Check rating</v>
      </c>
      <c r="N85" s="3" t="str">
        <f t="shared" si="18"/>
        <v>Missing rating and review</v>
      </c>
      <c r="O85" s="3" t="str">
        <f t="shared" si="19"/>
        <v>Weak Engagement</v>
      </c>
      <c r="P85" s="3" t="str">
        <f t="shared" si="20"/>
        <v>Missing</v>
      </c>
      <c r="Q85" s="3" t="str">
        <f t="shared" si="21"/>
        <v>Missing</v>
      </c>
      <c r="R85" s="3" t="str">
        <f t="shared" si="22"/>
        <v>Missing</v>
      </c>
      <c r="S85" s="3" t="str">
        <f t="shared" si="23"/>
        <v>Missing</v>
      </c>
    </row>
    <row r="86" spans="1:19" x14ac:dyDescent="0.25">
      <c r="A86" s="7" t="s">
        <v>132</v>
      </c>
      <c r="B86" s="13">
        <v>475</v>
      </c>
      <c r="C86" s="13">
        <v>931</v>
      </c>
      <c r="D86" s="13" t="str">
        <f>IF(tblProducts[[#This Row],[Current Price]]="","Missing",IF(tblProducts[[#This Row],[Current Price]]&lt;=Price_Q1,"Low Price",IF(tblProducts[[#This Row],[Current Price]]&lt;=Price_Q3,"Medium Price","High Price")))</f>
        <v>Low Price</v>
      </c>
      <c r="E86" s="8">
        <f t="shared" si="16"/>
        <v>456</v>
      </c>
      <c r="F86" s="17">
        <f t="shared" si="17"/>
        <v>0.48979591836734693</v>
      </c>
      <c r="G86" s="17">
        <v>0.49</v>
      </c>
      <c r="H86" s="17" t="str">
        <f>IF(tblProducts[[#This Row],[Advertised Discount]]="","Missing",IF(tblProducts[[#This Row],[Advertised Discount]]&lt;20%,"Low Discount",IF(tblProducts[[#This Row],[Advertised Discount]]&lt;=40%,"Medium Discount","High Discount")))</f>
        <v>High Discount</v>
      </c>
      <c r="I86" s="17" t="str" cm="1">
        <f t="array" ref="I86">IF(OR(tblProducts[Advertised Discount]&lt;0%,tblProducts[Advertised Discount]&gt;100%),"Check rating","OK")</f>
        <v>OK</v>
      </c>
      <c r="J86" s="2"/>
      <c r="K86" s="9" t="s">
        <v>78</v>
      </c>
      <c r="L86" s="3" t="str">
        <f>IF(tblProducts[[#This Row],[Rating]]="","Missing",IF(tblProducts[[#This Row],[Rating]]&lt;3,"Poor",IF(tblProducts[[#This Row],[Rating]]&lt;=4.5,"Average","Excellent")))</f>
        <v>Missing</v>
      </c>
      <c r="M86" s="3" t="str">
        <f>IF(OR(tblProducts[[#This Row],[Rating]]&lt;0,tblProducts[[#This Row],[Rating]]&gt;5),"Check rating","OK")</f>
        <v>Check rating</v>
      </c>
      <c r="N86" s="3" t="str">
        <f t="shared" si="18"/>
        <v>Missing rating and review</v>
      </c>
      <c r="O86" s="3" t="str">
        <f t="shared" si="19"/>
        <v>Weak Engagement</v>
      </c>
      <c r="P86" s="3" t="str">
        <f t="shared" si="20"/>
        <v>Missing</v>
      </c>
      <c r="Q86" s="3" t="str">
        <f t="shared" si="21"/>
        <v>Missing</v>
      </c>
      <c r="R86" s="3" t="str">
        <f t="shared" si="22"/>
        <v>Missing</v>
      </c>
      <c r="S86" s="3" t="str">
        <f t="shared" si="23"/>
        <v>Missing</v>
      </c>
    </row>
    <row r="87" spans="1:19" x14ac:dyDescent="0.25">
      <c r="A87" s="7" t="s">
        <v>187</v>
      </c>
      <c r="B87" s="13">
        <v>458</v>
      </c>
      <c r="C87" s="13">
        <v>986</v>
      </c>
      <c r="D87" s="13" t="str">
        <f>IF(tblProducts[[#This Row],[Current Price]]="","Missing",IF(tblProducts[[#This Row],[Current Price]]&lt;=Price_Q1,"Low Price",IF(tblProducts[[#This Row],[Current Price]]&lt;=Price_Q3,"Medium Price","High Price")))</f>
        <v>Low Price</v>
      </c>
      <c r="E87" s="8">
        <f t="shared" si="16"/>
        <v>528</v>
      </c>
      <c r="F87" s="17">
        <f t="shared" si="17"/>
        <v>0.53549695740365111</v>
      </c>
      <c r="G87" s="17">
        <v>0.54</v>
      </c>
      <c r="H87" s="17" t="str">
        <f>IF(tblProducts[[#This Row],[Advertised Discount]]="","Missing",IF(tblProducts[[#This Row],[Advertised Discount]]&lt;20%,"Low Discount",IF(tblProducts[[#This Row],[Advertised Discount]]&lt;=40%,"Medium Discount","High Discount")))</f>
        <v>High Discount</v>
      </c>
      <c r="I87" s="17" t="str" cm="1">
        <f t="array" ref="I87">IF(OR(tblProducts[Advertised Discount]&lt;0%,tblProducts[Advertised Discount]&gt;100%),"Check rating","OK")</f>
        <v>OK</v>
      </c>
      <c r="J87" s="2">
        <v>1</v>
      </c>
      <c r="K87" s="9">
        <v>3</v>
      </c>
      <c r="L87" s="3" t="str">
        <f>IF(tblProducts[[#This Row],[Rating]]="","Missing",IF(tblProducts[[#This Row],[Rating]]&lt;3,"Poor",IF(tblProducts[[#This Row],[Rating]]&lt;=4.5,"Average","Excellent")))</f>
        <v>Average</v>
      </c>
      <c r="M87" s="3" t="str">
        <f>IF(OR(tblProducts[[#This Row],[Rating]]&lt;0,tblProducts[[#This Row],[Rating]]&gt;5),"Check rating","OK")</f>
        <v>OK</v>
      </c>
      <c r="N87" s="3" t="str">
        <f t="shared" si="18"/>
        <v>Complete</v>
      </c>
      <c r="O87" s="3" t="str">
        <f t="shared" si="19"/>
        <v>Weak Engagement</v>
      </c>
      <c r="P87" s="3" t="str">
        <f t="shared" si="20"/>
        <v>No</v>
      </c>
      <c r="Q87" s="3" t="str">
        <f t="shared" si="21"/>
        <v>Yes</v>
      </c>
      <c r="R87" s="3" t="str">
        <f t="shared" si="22"/>
        <v>No</v>
      </c>
      <c r="S87" s="3" t="str">
        <f t="shared" si="23"/>
        <v>No</v>
      </c>
    </row>
    <row r="88" spans="1:19" x14ac:dyDescent="0.25">
      <c r="A88" s="7" t="s">
        <v>319</v>
      </c>
      <c r="B88" s="13">
        <v>450</v>
      </c>
      <c r="C88" s="13">
        <v>900</v>
      </c>
      <c r="D88" s="13" t="str">
        <f>IF(tblProducts[[#This Row],[Current Price]]="","Missing",IF(tblProducts[[#This Row],[Current Price]]&lt;=Price_Q1,"Low Price",IF(tblProducts[[#This Row],[Current Price]]&lt;=Price_Q3,"Medium Price","High Price")))</f>
        <v>Low Price</v>
      </c>
      <c r="E88" s="8">
        <f t="shared" si="16"/>
        <v>450</v>
      </c>
      <c r="F88" s="17">
        <f t="shared" si="17"/>
        <v>0.5</v>
      </c>
      <c r="G88" s="17">
        <v>0.5</v>
      </c>
      <c r="H88" s="17" t="str">
        <f>IF(tblProducts[[#This Row],[Advertised Discount]]="","Missing",IF(tblProducts[[#This Row],[Advertised Discount]]&lt;20%,"Low Discount",IF(tblProducts[[#This Row],[Advertised Discount]]&lt;=40%,"Medium Discount","High Discount")))</f>
        <v>High Discount</v>
      </c>
      <c r="I88" s="17" t="str" cm="1">
        <f t="array" ref="I88">IF(OR(tblProducts[Advertised Discount]&lt;0%,tblProducts[Advertised Discount]&gt;100%),"Check rating","OK")</f>
        <v>OK</v>
      </c>
      <c r="J88" s="2">
        <v>1</v>
      </c>
      <c r="K88" s="9">
        <v>2</v>
      </c>
      <c r="L88" s="3" t="str">
        <f>IF(tblProducts[[#This Row],[Rating]]="","Missing",IF(tblProducts[[#This Row],[Rating]]&lt;3,"Poor",IF(tblProducts[[#This Row],[Rating]]&lt;=4.5,"Average","Excellent")))</f>
        <v>Poor</v>
      </c>
      <c r="M88" s="3" t="str">
        <f>IF(OR(tblProducts[[#This Row],[Rating]]&lt;0,tblProducts[[#This Row],[Rating]]&gt;5),"Check rating","OK")</f>
        <v>OK</v>
      </c>
      <c r="N88" s="3" t="str">
        <f t="shared" si="18"/>
        <v>Complete</v>
      </c>
      <c r="O88" s="3" t="str">
        <f t="shared" si="19"/>
        <v>Weak Engagement</v>
      </c>
      <c r="P88" s="3" t="str">
        <f t="shared" si="20"/>
        <v>Yes</v>
      </c>
      <c r="Q88" s="3" t="str">
        <f t="shared" si="21"/>
        <v>Yes</v>
      </c>
      <c r="R88" s="3" t="str">
        <f t="shared" si="22"/>
        <v>No</v>
      </c>
      <c r="S88" s="3" t="str">
        <f t="shared" si="23"/>
        <v>No</v>
      </c>
    </row>
    <row r="89" spans="1:19" x14ac:dyDescent="0.25">
      <c r="A89" s="7" t="s">
        <v>195</v>
      </c>
      <c r="B89" s="13">
        <v>445</v>
      </c>
      <c r="C89" s="13">
        <v>873</v>
      </c>
      <c r="D89" s="13" t="str">
        <f>IF(tblProducts[[#This Row],[Current Price]]="","Missing",IF(tblProducts[[#This Row],[Current Price]]&lt;=Price_Q1,"Low Price",IF(tblProducts[[#This Row],[Current Price]]&lt;=Price_Q3,"Medium Price","High Price")))</f>
        <v>Low Price</v>
      </c>
      <c r="E89" s="8">
        <f t="shared" si="16"/>
        <v>428</v>
      </c>
      <c r="F89" s="17">
        <f t="shared" si="17"/>
        <v>0.49026345933562426</v>
      </c>
      <c r="G89" s="17">
        <v>0.49</v>
      </c>
      <c r="H89" s="17" t="str">
        <f>IF(tblProducts[[#This Row],[Advertised Discount]]="","Missing",IF(tblProducts[[#This Row],[Advertised Discount]]&lt;20%,"Low Discount",IF(tblProducts[[#This Row],[Advertised Discount]]&lt;=40%,"Medium Discount","High Discount")))</f>
        <v>High Discount</v>
      </c>
      <c r="I89" s="17" t="str" cm="1">
        <f t="array" ref="I89">IF(OR(tblProducts[Advertised Discount]&lt;0%,tblProducts[Advertised Discount]&gt;100%),"Check rating","OK")</f>
        <v>OK</v>
      </c>
      <c r="J89" s="2">
        <v>69</v>
      </c>
      <c r="K89" s="9">
        <v>2.8</v>
      </c>
      <c r="L89" s="3" t="str">
        <f>IF(tblProducts[[#This Row],[Rating]]="","Missing",IF(tblProducts[[#This Row],[Rating]]&lt;3,"Poor",IF(tblProducts[[#This Row],[Rating]]&lt;=4.5,"Average","Excellent")))</f>
        <v>Poor</v>
      </c>
      <c r="M89" s="3" t="str">
        <f>IF(OR(tblProducts[[#This Row],[Rating]]&lt;0,tblProducts[[#This Row],[Rating]]&gt;5),"Check rating","OK")</f>
        <v>OK</v>
      </c>
      <c r="N89" s="3" t="str">
        <f t="shared" si="18"/>
        <v>Complete</v>
      </c>
      <c r="O89" s="3" t="str">
        <f t="shared" si="19"/>
        <v>Strong Engagement</v>
      </c>
      <c r="P89" s="3" t="str">
        <f t="shared" si="20"/>
        <v>Yes</v>
      </c>
      <c r="Q89" s="3" t="str">
        <f t="shared" si="21"/>
        <v>No</v>
      </c>
      <c r="R89" s="3" t="str">
        <f t="shared" si="22"/>
        <v>No</v>
      </c>
      <c r="S89" s="3" t="str">
        <f t="shared" si="23"/>
        <v>No</v>
      </c>
    </row>
    <row r="90" spans="1:19" x14ac:dyDescent="0.25">
      <c r="A90" s="7" t="s">
        <v>90</v>
      </c>
      <c r="B90" s="13">
        <v>420</v>
      </c>
      <c r="C90" s="13">
        <v>647</v>
      </c>
      <c r="D90" s="13" t="str">
        <f>IF(tblProducts[[#This Row],[Current Price]]="","Missing",IF(tblProducts[[#This Row],[Current Price]]&lt;=Price_Q1,"Low Price",IF(tblProducts[[#This Row],[Current Price]]&lt;=Price_Q3,"Medium Price","High Price")))</f>
        <v>Low Price</v>
      </c>
      <c r="E90" s="8">
        <f t="shared" si="16"/>
        <v>227</v>
      </c>
      <c r="F90" s="17">
        <f t="shared" si="17"/>
        <v>0.3508500772797527</v>
      </c>
      <c r="G90" s="17">
        <v>0.35</v>
      </c>
      <c r="H90" s="17" t="str">
        <f>IF(tblProducts[[#This Row],[Advertised Discount]]="","Missing",IF(tblProducts[[#This Row],[Advertised Discount]]&lt;20%,"Low Discount",IF(tblProducts[[#This Row],[Advertised Discount]]&lt;=40%,"Medium Discount","High Discount")))</f>
        <v>Medium Discount</v>
      </c>
      <c r="I90" s="17" t="str" cm="1">
        <f t="array" ref="I90">IF(OR(tblProducts[Advertised Discount]&lt;0%,tblProducts[Advertised Discount]&gt;100%),"Check rating","OK")</f>
        <v>OK</v>
      </c>
      <c r="J90" s="2">
        <v>49</v>
      </c>
      <c r="K90" s="9">
        <v>4.5999999999999996</v>
      </c>
      <c r="L90" s="3" t="str">
        <f>IF(tblProducts[[#This Row],[Rating]]="","Missing",IF(tblProducts[[#This Row],[Rating]]&lt;3,"Poor",IF(tblProducts[[#This Row],[Rating]]&lt;=4.5,"Average","Excellent")))</f>
        <v>Excellent</v>
      </c>
      <c r="M90" s="3" t="str">
        <f>IF(OR(tblProducts[[#This Row],[Rating]]&lt;0,tblProducts[[#This Row],[Rating]]&gt;5),"Check rating","OK")</f>
        <v>OK</v>
      </c>
      <c r="N90" s="3" t="str">
        <f t="shared" si="18"/>
        <v>Complete</v>
      </c>
      <c r="O90" s="3" t="str">
        <f t="shared" si="19"/>
        <v>Strong Engagement</v>
      </c>
      <c r="P90" s="3" t="str">
        <f t="shared" si="20"/>
        <v>No</v>
      </c>
      <c r="Q90" s="3" t="str">
        <f t="shared" si="21"/>
        <v>No</v>
      </c>
      <c r="R90" s="3" t="str">
        <f t="shared" si="22"/>
        <v>No</v>
      </c>
      <c r="S90" s="3" t="str">
        <f t="shared" si="23"/>
        <v>Yes</v>
      </c>
    </row>
    <row r="91" spans="1:19" x14ac:dyDescent="0.25">
      <c r="A91" s="7" t="s">
        <v>171</v>
      </c>
      <c r="B91" s="13">
        <v>399</v>
      </c>
      <c r="C91" s="13">
        <v>896</v>
      </c>
      <c r="D91" s="13" t="str">
        <f>IF(tblProducts[[#This Row],[Current Price]]="","Missing",IF(tblProducts[[#This Row],[Current Price]]&lt;=Price_Q1,"Low Price",IF(tblProducts[[#This Row],[Current Price]]&lt;=Price_Q3,"Medium Price","High Price")))</f>
        <v>Low Price</v>
      </c>
      <c r="E91" s="8">
        <f t="shared" si="16"/>
        <v>497</v>
      </c>
      <c r="F91" s="17">
        <f t="shared" si="17"/>
        <v>0.5546875</v>
      </c>
      <c r="G91" s="17">
        <v>0.55000000000000004</v>
      </c>
      <c r="H91" s="17" t="str">
        <f>IF(tblProducts[[#This Row],[Advertised Discount]]="","Missing",IF(tblProducts[[#This Row],[Advertised Discount]]&lt;20%,"Low Discount",IF(tblProducts[[#This Row],[Advertised Discount]]&lt;=40%,"Medium Discount","High Discount")))</f>
        <v>High Discount</v>
      </c>
      <c r="I91" s="17" t="str" cm="1">
        <f t="array" ref="I91">IF(OR(tblProducts[Advertised Discount]&lt;0%,tblProducts[Advertised Discount]&gt;100%),"Check rating","OK")</f>
        <v>OK</v>
      </c>
      <c r="J91" s="2"/>
      <c r="K91" s="9" t="s">
        <v>78</v>
      </c>
      <c r="L91" s="3" t="str">
        <f>IF(tblProducts[[#This Row],[Rating]]="","Missing",IF(tblProducts[[#This Row],[Rating]]&lt;3,"Poor",IF(tblProducts[[#This Row],[Rating]]&lt;=4.5,"Average","Excellent")))</f>
        <v>Missing</v>
      </c>
      <c r="M91" s="3" t="str">
        <f>IF(OR(tblProducts[[#This Row],[Rating]]&lt;0,tblProducts[[#This Row],[Rating]]&gt;5),"Check rating","OK")</f>
        <v>Check rating</v>
      </c>
      <c r="N91" s="3" t="str">
        <f t="shared" si="18"/>
        <v>Missing rating and review</v>
      </c>
      <c r="O91" s="3" t="str">
        <f t="shared" si="19"/>
        <v>Weak Engagement</v>
      </c>
      <c r="P91" s="3" t="str">
        <f t="shared" si="20"/>
        <v>Missing</v>
      </c>
      <c r="Q91" s="3" t="str">
        <f t="shared" si="21"/>
        <v>Missing</v>
      </c>
      <c r="R91" s="3" t="str">
        <f t="shared" si="22"/>
        <v>Missing</v>
      </c>
      <c r="S91" s="3" t="str">
        <f t="shared" si="23"/>
        <v>Missing</v>
      </c>
    </row>
    <row r="92" spans="1:19" x14ac:dyDescent="0.25">
      <c r="A92" s="7" t="s">
        <v>123</v>
      </c>
      <c r="B92" s="13">
        <v>389</v>
      </c>
      <c r="C92" s="13">
        <v>656</v>
      </c>
      <c r="D92" s="13" t="str">
        <f>IF(tblProducts[[#This Row],[Current Price]]="","Missing",IF(tblProducts[[#This Row],[Current Price]]&lt;=Price_Q1,"Low Price",IF(tblProducts[[#This Row],[Current Price]]&lt;=Price_Q3,"Medium Price","High Price")))</f>
        <v>Low Price</v>
      </c>
      <c r="E92" s="8">
        <f t="shared" si="16"/>
        <v>267</v>
      </c>
      <c r="F92" s="17">
        <f t="shared" si="17"/>
        <v>0.40701219512195119</v>
      </c>
      <c r="G92" s="17">
        <v>0.41</v>
      </c>
      <c r="H92" s="17" t="str">
        <f>IF(tblProducts[[#This Row],[Advertised Discount]]="","Missing",IF(tblProducts[[#This Row],[Advertised Discount]]&lt;20%,"Low Discount",IF(tblProducts[[#This Row],[Advertised Discount]]&lt;=40%,"Medium Discount","High Discount")))</f>
        <v>High Discount</v>
      </c>
      <c r="I92" s="17" t="str" cm="1">
        <f t="array" ref="I92">IF(OR(tblProducts[Advertised Discount]&lt;0%,tblProducts[Advertised Discount]&gt;100%),"Check rating","OK")</f>
        <v>OK</v>
      </c>
      <c r="J92" s="2">
        <v>36</v>
      </c>
      <c r="K92" s="9">
        <v>4.3</v>
      </c>
      <c r="L92" s="3" t="str">
        <f>IF(tblProducts[[#This Row],[Rating]]="","Missing",IF(tblProducts[[#This Row],[Rating]]&lt;3,"Poor",IF(tblProducts[[#This Row],[Rating]]&lt;=4.5,"Average","Excellent")))</f>
        <v>Average</v>
      </c>
      <c r="M92" s="3" t="str">
        <f>IF(OR(tblProducts[[#This Row],[Rating]]&lt;0,tblProducts[[#This Row],[Rating]]&gt;5),"Check rating","OK")</f>
        <v>OK</v>
      </c>
      <c r="N92" s="3" t="str">
        <f t="shared" si="18"/>
        <v>Complete</v>
      </c>
      <c r="O92" s="3" t="str">
        <f t="shared" si="19"/>
        <v>Strong Engagement</v>
      </c>
      <c r="P92" s="3" t="str">
        <f t="shared" si="20"/>
        <v>No</v>
      </c>
      <c r="Q92" s="3" t="str">
        <f t="shared" si="21"/>
        <v>No</v>
      </c>
      <c r="R92" s="3" t="str">
        <f t="shared" si="22"/>
        <v>Yes</v>
      </c>
      <c r="S92" s="3" t="str">
        <f t="shared" si="23"/>
        <v>No</v>
      </c>
    </row>
    <row r="93" spans="1:19" x14ac:dyDescent="0.25">
      <c r="A93" s="7" t="s">
        <v>216</v>
      </c>
      <c r="B93" s="13">
        <v>382</v>
      </c>
      <c r="C93" s="13">
        <v>700</v>
      </c>
      <c r="D93" s="13" t="str">
        <f>IF(tblProducts[[#This Row],[Current Price]]="","Missing",IF(tblProducts[[#This Row],[Current Price]]&lt;=Price_Q1,"Low Price",IF(tblProducts[[#This Row],[Current Price]]&lt;=Price_Q3,"Medium Price","High Price")))</f>
        <v>Low Price</v>
      </c>
      <c r="E93" s="8">
        <f t="shared" si="16"/>
        <v>318</v>
      </c>
      <c r="F93" s="17">
        <f t="shared" si="17"/>
        <v>0.45428571428571429</v>
      </c>
      <c r="G93" s="17">
        <v>0.45</v>
      </c>
      <c r="H93" s="17" t="str">
        <f>IF(tblProducts[[#This Row],[Advertised Discount]]="","Missing",IF(tblProducts[[#This Row],[Advertised Discount]]&lt;20%,"Low Discount",IF(tblProducts[[#This Row],[Advertised Discount]]&lt;=40%,"Medium Discount","High Discount")))</f>
        <v>High Discount</v>
      </c>
      <c r="I93" s="17" t="str" cm="1">
        <f t="array" ref="I93">IF(OR(tblProducts[Advertised Discount]&lt;0%,tblProducts[Advertised Discount]&gt;100%),"Check rating","OK")</f>
        <v>OK</v>
      </c>
      <c r="J93" s="2">
        <v>17</v>
      </c>
      <c r="K93" s="9">
        <v>2.6</v>
      </c>
      <c r="L93" s="3" t="str">
        <f>IF(tblProducts[[#This Row],[Rating]]="","Missing",IF(tblProducts[[#This Row],[Rating]]&lt;3,"Poor",IF(tblProducts[[#This Row],[Rating]]&lt;=4.5,"Average","Excellent")))</f>
        <v>Poor</v>
      </c>
      <c r="M93" s="3" t="str">
        <f>IF(OR(tblProducts[[#This Row],[Rating]]&lt;0,tblProducts[[#This Row],[Rating]]&gt;5),"Check rating","OK")</f>
        <v>OK</v>
      </c>
      <c r="N93" s="3" t="str">
        <f t="shared" si="18"/>
        <v>Complete</v>
      </c>
      <c r="O93" s="3" t="str">
        <f t="shared" si="19"/>
        <v>Strong Engagement</v>
      </c>
      <c r="P93" s="3" t="str">
        <f t="shared" si="20"/>
        <v>Yes</v>
      </c>
      <c r="Q93" s="3" t="str">
        <f t="shared" si="21"/>
        <v>No</v>
      </c>
      <c r="R93" s="3" t="str">
        <f t="shared" si="22"/>
        <v>No</v>
      </c>
      <c r="S93" s="3" t="str">
        <f t="shared" si="23"/>
        <v>No</v>
      </c>
    </row>
    <row r="94" spans="1:19" x14ac:dyDescent="0.25">
      <c r="A94" s="7" t="s">
        <v>222</v>
      </c>
      <c r="B94" s="13">
        <v>345</v>
      </c>
      <c r="C94" s="13">
        <v>602</v>
      </c>
      <c r="D94" s="13" t="str">
        <f>IF(tblProducts[[#This Row],[Current Price]]="","Missing",IF(tblProducts[[#This Row],[Current Price]]&lt;=Price_Q1,"Low Price",IF(tblProducts[[#This Row],[Current Price]]&lt;=Price_Q3,"Medium Price","High Price")))</f>
        <v>Low Price</v>
      </c>
      <c r="E94" s="8">
        <f t="shared" si="16"/>
        <v>257</v>
      </c>
      <c r="F94" s="17">
        <f t="shared" si="17"/>
        <v>0.42691029900332228</v>
      </c>
      <c r="G94" s="17">
        <v>0.43</v>
      </c>
      <c r="H94" s="17" t="str">
        <f>IF(tblProducts[[#This Row],[Advertised Discount]]="","Missing",IF(tblProducts[[#This Row],[Advertised Discount]]&lt;20%,"Low Discount",IF(tblProducts[[#This Row],[Advertised Discount]]&lt;=40%,"Medium Discount","High Discount")))</f>
        <v>High Discount</v>
      </c>
      <c r="I94" s="17" t="str" cm="1">
        <f t="array" ref="I94">IF(OR(tblProducts[Advertised Discount]&lt;0%,tblProducts[Advertised Discount]&gt;100%),"Check rating","OK")</f>
        <v>OK</v>
      </c>
      <c r="J94" s="2">
        <v>6</v>
      </c>
      <c r="K94" s="9">
        <v>2.2999999999999998</v>
      </c>
      <c r="L94" s="3" t="str">
        <f>IF(tblProducts[[#This Row],[Rating]]="","Missing",IF(tblProducts[[#This Row],[Rating]]&lt;3,"Poor",IF(tblProducts[[#This Row],[Rating]]&lt;=4.5,"Average","Excellent")))</f>
        <v>Poor</v>
      </c>
      <c r="M94" s="3" t="str">
        <f>IF(OR(tblProducts[[#This Row],[Rating]]&lt;0,tblProducts[[#This Row],[Rating]]&gt;5),"Check rating","OK")</f>
        <v>OK</v>
      </c>
      <c r="N94" s="3" t="str">
        <f t="shared" si="18"/>
        <v>Complete</v>
      </c>
      <c r="O94" s="3" t="str">
        <f t="shared" si="19"/>
        <v>Weak Engagement</v>
      </c>
      <c r="P94" s="3" t="str">
        <f t="shared" si="20"/>
        <v>Yes</v>
      </c>
      <c r="Q94" s="3" t="str">
        <f t="shared" si="21"/>
        <v>Yes</v>
      </c>
      <c r="R94" s="3" t="str">
        <f t="shared" si="22"/>
        <v>No</v>
      </c>
      <c r="S94" s="3" t="str">
        <f t="shared" si="23"/>
        <v>No</v>
      </c>
    </row>
    <row r="95" spans="1:19" x14ac:dyDescent="0.25">
      <c r="A95" s="7" t="s">
        <v>56</v>
      </c>
      <c r="B95" s="13">
        <v>332</v>
      </c>
      <c r="C95" s="13">
        <v>684</v>
      </c>
      <c r="D95" s="13" t="str">
        <f>IF(tblProducts[[#This Row],[Current Price]]="","Missing",IF(tblProducts[[#This Row],[Current Price]]&lt;=Price_Q1,"Low Price",IF(tblProducts[[#This Row],[Current Price]]&lt;=Price_Q3,"Medium Price","High Price")))</f>
        <v>Low Price</v>
      </c>
      <c r="E95" s="8">
        <f t="shared" si="16"/>
        <v>352</v>
      </c>
      <c r="F95" s="17">
        <f t="shared" si="17"/>
        <v>0.51461988304093564</v>
      </c>
      <c r="G95" s="17">
        <v>0.51</v>
      </c>
      <c r="H95" s="17" t="str">
        <f>IF(tblProducts[[#This Row],[Advertised Discount]]="","Missing",IF(tblProducts[[#This Row],[Advertised Discount]]&lt;20%,"Low Discount",IF(tblProducts[[#This Row],[Advertised Discount]]&lt;=40%,"Medium Discount","High Discount")))</f>
        <v>High Discount</v>
      </c>
      <c r="I95" s="17" t="str" cm="1">
        <f t="array" ref="I95">IF(OR(tblProducts[Advertised Discount]&lt;0%,tblProducts[Advertised Discount]&gt;100%),"Check rating","OK")</f>
        <v>OK</v>
      </c>
      <c r="J95" s="2">
        <v>2</v>
      </c>
      <c r="K95" s="9">
        <v>5</v>
      </c>
      <c r="L95" s="3" t="str">
        <f>IF(tblProducts[[#This Row],[Rating]]="","Missing",IF(tblProducts[[#This Row],[Rating]]&lt;3,"Poor",IF(tblProducts[[#This Row],[Rating]]&lt;=4.5,"Average","Excellent")))</f>
        <v>Excellent</v>
      </c>
      <c r="M95" s="3" t="str">
        <f>IF(OR(tblProducts[[#This Row],[Rating]]&lt;0,tblProducts[[#This Row],[Rating]]&gt;5),"Check rating","OK")</f>
        <v>OK</v>
      </c>
      <c r="N95" s="3" t="str">
        <f t="shared" si="18"/>
        <v>Complete</v>
      </c>
      <c r="O95" s="3" t="str">
        <f t="shared" si="19"/>
        <v>Weak Engagement</v>
      </c>
      <c r="P95" s="3" t="str">
        <f t="shared" si="20"/>
        <v>No</v>
      </c>
      <c r="Q95" s="3" t="str">
        <f t="shared" si="21"/>
        <v>Yes</v>
      </c>
      <c r="R95" s="3" t="str">
        <f t="shared" si="22"/>
        <v>No</v>
      </c>
      <c r="S95" s="3" t="str">
        <f t="shared" si="23"/>
        <v>No</v>
      </c>
    </row>
    <row r="96" spans="1:19" x14ac:dyDescent="0.25">
      <c r="A96" s="7" t="s">
        <v>254</v>
      </c>
      <c r="B96" s="13">
        <v>330</v>
      </c>
      <c r="C96" s="13">
        <v>647</v>
      </c>
      <c r="D96" s="13" t="str">
        <f>IF(tblProducts[[#This Row],[Current Price]]="","Missing",IF(tblProducts[[#This Row],[Current Price]]&lt;=Price_Q1,"Low Price",IF(tblProducts[[#This Row],[Current Price]]&lt;=Price_Q3,"Medium Price","High Price")))</f>
        <v>Low Price</v>
      </c>
      <c r="E96" s="8">
        <f t="shared" si="16"/>
        <v>317</v>
      </c>
      <c r="F96" s="17">
        <f t="shared" si="17"/>
        <v>0.48995363214837712</v>
      </c>
      <c r="G96" s="17">
        <v>0.49</v>
      </c>
      <c r="H96" s="17" t="str">
        <f>IF(tblProducts[[#This Row],[Advertised Discount]]="","Missing",IF(tblProducts[[#This Row],[Advertised Discount]]&lt;20%,"Low Discount",IF(tblProducts[[#This Row],[Advertised Discount]]&lt;=40%,"Medium Discount","High Discount")))</f>
        <v>High Discount</v>
      </c>
      <c r="I96" s="17" t="str" cm="1">
        <f t="array" ref="I96">IF(OR(tblProducts[Advertised Discount]&lt;0%,tblProducts[Advertised Discount]&gt;100%),"Check rating","OK")</f>
        <v>OK</v>
      </c>
      <c r="J96" s="2">
        <v>1</v>
      </c>
      <c r="K96" s="9">
        <v>4</v>
      </c>
      <c r="L96" s="3" t="str">
        <f>IF(tblProducts[[#This Row],[Rating]]="","Missing",IF(tblProducts[[#This Row],[Rating]]&lt;3,"Poor",IF(tblProducts[[#This Row],[Rating]]&lt;=4.5,"Average","Excellent")))</f>
        <v>Average</v>
      </c>
      <c r="M96" s="3" t="str">
        <f>IF(OR(tblProducts[[#This Row],[Rating]]&lt;0,tblProducts[[#This Row],[Rating]]&gt;5),"Check rating","OK")</f>
        <v>OK</v>
      </c>
      <c r="N96" s="3" t="str">
        <f t="shared" si="18"/>
        <v>Complete</v>
      </c>
      <c r="O96" s="3" t="str">
        <f t="shared" si="19"/>
        <v>Weak Engagement</v>
      </c>
      <c r="P96" s="3" t="str">
        <f t="shared" si="20"/>
        <v>No</v>
      </c>
      <c r="Q96" s="3" t="str">
        <f t="shared" si="21"/>
        <v>Yes</v>
      </c>
      <c r="R96" s="3" t="str">
        <f t="shared" si="22"/>
        <v>No</v>
      </c>
      <c r="S96" s="3" t="str">
        <f t="shared" si="23"/>
        <v>No</v>
      </c>
    </row>
    <row r="97" spans="1:19" x14ac:dyDescent="0.25">
      <c r="A97" s="7" t="s">
        <v>199</v>
      </c>
      <c r="B97" s="13">
        <v>325</v>
      </c>
      <c r="C97" s="13">
        <v>680</v>
      </c>
      <c r="D97" s="13" t="str">
        <f>IF(tblProducts[[#This Row],[Current Price]]="","Missing",IF(tblProducts[[#This Row],[Current Price]]&lt;=Price_Q1,"Low Price",IF(tblProducts[[#This Row],[Current Price]]&lt;=Price_Q3,"Medium Price","High Price")))</f>
        <v>Low Price</v>
      </c>
      <c r="E97" s="8">
        <f t="shared" si="16"/>
        <v>355</v>
      </c>
      <c r="F97" s="17">
        <f t="shared" si="17"/>
        <v>0.5220588235294118</v>
      </c>
      <c r="G97" s="17">
        <v>0.52</v>
      </c>
      <c r="H97" s="17" t="str">
        <f>IF(tblProducts[[#This Row],[Advertised Discount]]="","Missing",IF(tblProducts[[#This Row],[Advertised Discount]]&lt;20%,"Low Discount",IF(tblProducts[[#This Row],[Advertised Discount]]&lt;=40%,"Medium Discount","High Discount")))</f>
        <v>High Discount</v>
      </c>
      <c r="I97" s="17" t="str" cm="1">
        <f t="array" ref="I97">IF(OR(tblProducts[Advertised Discount]&lt;0%,tblProducts[Advertised Discount]&gt;100%),"Check rating","OK")</f>
        <v>OK</v>
      </c>
      <c r="J97" s="2">
        <v>15</v>
      </c>
      <c r="K97" s="9">
        <v>2.7</v>
      </c>
      <c r="L97" s="3" t="str">
        <f>IF(tblProducts[[#This Row],[Rating]]="","Missing",IF(tblProducts[[#This Row],[Rating]]&lt;3,"Poor",IF(tblProducts[[#This Row],[Rating]]&lt;=4.5,"Average","Excellent")))</f>
        <v>Poor</v>
      </c>
      <c r="M97" s="3" t="str">
        <f>IF(OR(tblProducts[[#This Row],[Rating]]&lt;0,tblProducts[[#This Row],[Rating]]&gt;5),"Check rating","OK")</f>
        <v>OK</v>
      </c>
      <c r="N97" s="3" t="str">
        <f t="shared" si="18"/>
        <v>Complete</v>
      </c>
      <c r="O97" s="3" t="str">
        <f t="shared" si="19"/>
        <v>Strong Engagement</v>
      </c>
      <c r="P97" s="3" t="str">
        <f t="shared" si="20"/>
        <v>Yes</v>
      </c>
      <c r="Q97" s="3" t="str">
        <f t="shared" si="21"/>
        <v>No</v>
      </c>
      <c r="R97" s="3" t="str">
        <f t="shared" si="22"/>
        <v>No</v>
      </c>
      <c r="S97" s="3" t="str">
        <f t="shared" si="23"/>
        <v>No</v>
      </c>
    </row>
    <row r="98" spans="1:19" x14ac:dyDescent="0.25">
      <c r="A98" s="7" t="s">
        <v>158</v>
      </c>
      <c r="B98" s="13">
        <v>299</v>
      </c>
      <c r="C98" s="13">
        <v>600</v>
      </c>
      <c r="D98" s="13" t="str">
        <f>IF(tblProducts[[#This Row],[Current Price]]="","Missing",IF(tblProducts[[#This Row],[Current Price]]&lt;=Price_Q1,"Low Price",IF(tblProducts[[#This Row],[Current Price]]&lt;=Price_Q3,"Medium Price","High Price")))</f>
        <v>Low Price</v>
      </c>
      <c r="E98" s="8">
        <f t="shared" ref="E98:E113" si="24">C98-B98</f>
        <v>301</v>
      </c>
      <c r="F98" s="17">
        <f t="shared" ref="F98:F113" si="25">((C98-B98)/C98)</f>
        <v>0.50166666666666671</v>
      </c>
      <c r="G98" s="17">
        <v>0.5</v>
      </c>
      <c r="H98" s="17" t="str">
        <f>IF(tblProducts[[#This Row],[Advertised Discount]]="","Missing",IF(tblProducts[[#This Row],[Advertised Discount]]&lt;20%,"Low Discount",IF(tblProducts[[#This Row],[Advertised Discount]]&lt;=40%,"Medium Discount","High Discount")))</f>
        <v>High Discount</v>
      </c>
      <c r="I98" s="17" t="str" cm="1">
        <f t="array" ref="I98">IF(OR(tblProducts[Advertised Discount]&lt;0%,tblProducts[Advertised Discount]&gt;100%),"Check rating","OK")</f>
        <v>OK</v>
      </c>
      <c r="J98" s="2"/>
      <c r="K98" s="9" t="s">
        <v>78</v>
      </c>
      <c r="L98" s="3" t="str">
        <f>IF(tblProducts[[#This Row],[Rating]]="","Missing",IF(tblProducts[[#This Row],[Rating]]&lt;3,"Poor",IF(tblProducts[[#This Row],[Rating]]&lt;=4.5,"Average","Excellent")))</f>
        <v>Missing</v>
      </c>
      <c r="M98" s="3" t="str">
        <f>IF(OR(tblProducts[[#This Row],[Rating]]&lt;0,tblProducts[[#This Row],[Rating]]&gt;5),"Check rating","OK")</f>
        <v>Check rating</v>
      </c>
      <c r="N98" s="3" t="str">
        <f t="shared" ref="N98:N113" si="26">IF(AND(J98="",K98=""),"Missing rating and review",IF(J98="","Missing review",IF(K98="","Missing rating","Complete")))</f>
        <v>Missing rating and review</v>
      </c>
      <c r="O98" s="3" t="str">
        <f t="shared" ref="O98:O113" si="27">IF(J98=" ","Missing",IF(J98&gt;=Review_Q3,"Strong Engagement","Weak Engagement"))</f>
        <v>Weak Engagement</v>
      </c>
      <c r="P98" s="3" t="str">
        <f t="shared" ref="P98:P113" si="28">IF(OR(G98="",K98=""),"Missing",IF(AND(G98&gt;40%,K98&lt;3),"Yes","No"))</f>
        <v>Missing</v>
      </c>
      <c r="Q98" s="3" t="str">
        <f t="shared" ref="Q98:Q113" si="29">IF(OR(G98="",J98=""),"Missing",IF(AND(G98&gt;40%,J98&lt;Review_Q3),"Yes","No"))</f>
        <v>Missing</v>
      </c>
      <c r="R98" s="3" t="str">
        <f t="shared" ref="R98:R113" si="30">IF(OR(J98="",K98=""),"Missing",IF(AND(J98&gt;=Review_Q3,K98&gt;=3,K98&lt;=4.5),"Yes","No"))</f>
        <v>Missing</v>
      </c>
      <c r="S98" s="3" t="str">
        <f t="shared" ref="S98:S113" si="31">IF(OR(J98="",K98=""),"Missing",IF(AND(J98&gt;=Review_Q3,K98&gt;4.5),"Yes","No"))</f>
        <v>Missing</v>
      </c>
    </row>
    <row r="99" spans="1:19" x14ac:dyDescent="0.25">
      <c r="A99" s="7" t="s">
        <v>164</v>
      </c>
      <c r="B99" s="13">
        <v>299</v>
      </c>
      <c r="C99" s="13">
        <v>384</v>
      </c>
      <c r="D99" s="13" t="str">
        <f>IF(tblProducts[[#This Row],[Current Price]]="","Missing",IF(tblProducts[[#This Row],[Current Price]]&lt;=Price_Q1,"Low Price",IF(tblProducts[[#This Row],[Current Price]]&lt;=Price_Q3,"Medium Price","High Price")))</f>
        <v>Low Price</v>
      </c>
      <c r="E99" s="8">
        <f t="shared" si="24"/>
        <v>85</v>
      </c>
      <c r="F99" s="17">
        <f t="shared" si="25"/>
        <v>0.22135416666666666</v>
      </c>
      <c r="G99" s="17">
        <v>0.22</v>
      </c>
      <c r="H99" s="17" t="str">
        <f>IF(tblProducts[[#This Row],[Advertised Discount]]="","Missing",IF(tblProducts[[#This Row],[Advertised Discount]]&lt;20%,"Low Discount",IF(tblProducts[[#This Row],[Advertised Discount]]&lt;=40%,"Medium Discount","High Discount")))</f>
        <v>Medium Discount</v>
      </c>
      <c r="I99" s="17" t="str" cm="1">
        <f t="array" ref="I99">IF(OR(tblProducts[Advertised Discount]&lt;0%,tblProducts[Advertised Discount]&gt;100%),"Check rating","OK")</f>
        <v>OK</v>
      </c>
      <c r="J99" s="2"/>
      <c r="K99" s="9" t="s">
        <v>78</v>
      </c>
      <c r="L99" s="3" t="str">
        <f>IF(tblProducts[[#This Row],[Rating]]="","Missing",IF(tblProducts[[#This Row],[Rating]]&lt;3,"Poor",IF(tblProducts[[#This Row],[Rating]]&lt;=4.5,"Average","Excellent")))</f>
        <v>Missing</v>
      </c>
      <c r="M99" s="3" t="str">
        <f>IF(OR(tblProducts[[#This Row],[Rating]]&lt;0,tblProducts[[#This Row],[Rating]]&gt;5),"Check rating","OK")</f>
        <v>Check rating</v>
      </c>
      <c r="N99" s="3" t="str">
        <f t="shared" si="26"/>
        <v>Missing rating and review</v>
      </c>
      <c r="O99" s="3" t="str">
        <f t="shared" si="27"/>
        <v>Weak Engagement</v>
      </c>
      <c r="P99" s="3" t="str">
        <f t="shared" si="28"/>
        <v>Missing</v>
      </c>
      <c r="Q99" s="3" t="str">
        <f t="shared" si="29"/>
        <v>Missing</v>
      </c>
      <c r="R99" s="3" t="str">
        <f t="shared" si="30"/>
        <v>Missing</v>
      </c>
      <c r="S99" s="3" t="str">
        <f t="shared" si="31"/>
        <v>Missing</v>
      </c>
    </row>
    <row r="100" spans="1:19" x14ac:dyDescent="0.25">
      <c r="A100" s="7" t="s">
        <v>259</v>
      </c>
      <c r="B100" s="13">
        <v>274</v>
      </c>
      <c r="C100" s="13">
        <v>537</v>
      </c>
      <c r="D100" s="13" t="str">
        <f>IF(tblProducts[[#This Row],[Current Price]]="","Missing",IF(tblProducts[[#This Row],[Current Price]]&lt;=Price_Q1,"Low Price",IF(tblProducts[[#This Row],[Current Price]]&lt;=Price_Q3,"Medium Price","High Price")))</f>
        <v>Low Price</v>
      </c>
      <c r="E100" s="8">
        <f t="shared" si="24"/>
        <v>263</v>
      </c>
      <c r="F100" s="17">
        <f t="shared" si="25"/>
        <v>0.48975791433891991</v>
      </c>
      <c r="G100" s="17">
        <v>0.49</v>
      </c>
      <c r="H100" s="17" t="str">
        <f>IF(tblProducts[[#This Row],[Advertised Discount]]="","Missing",IF(tblProducts[[#This Row],[Advertised Discount]]&lt;20%,"Low Discount",IF(tblProducts[[#This Row],[Advertised Discount]]&lt;=40%,"Medium Discount","High Discount")))</f>
        <v>High Discount</v>
      </c>
      <c r="I100" s="17" t="str" cm="1">
        <f t="array" ref="I100">IF(OR(tblProducts[Advertised Discount]&lt;0%,tblProducts[Advertised Discount]&gt;100%),"Check rating","OK")</f>
        <v>OK</v>
      </c>
      <c r="J100" s="2"/>
      <c r="K100" s="9" t="s">
        <v>78</v>
      </c>
      <c r="L100" s="3" t="str">
        <f>IF(tblProducts[[#This Row],[Rating]]="","Missing",IF(tblProducts[[#This Row],[Rating]]&lt;3,"Poor",IF(tblProducts[[#This Row],[Rating]]&lt;=4.5,"Average","Excellent")))</f>
        <v>Missing</v>
      </c>
      <c r="M100" s="3" t="str">
        <f>IF(OR(tblProducts[[#This Row],[Rating]]&lt;0,tblProducts[[#This Row],[Rating]]&gt;5),"Check rating","OK")</f>
        <v>Check rating</v>
      </c>
      <c r="N100" s="3" t="str">
        <f t="shared" si="26"/>
        <v>Missing rating and review</v>
      </c>
      <c r="O100" s="3" t="str">
        <f t="shared" si="27"/>
        <v>Weak Engagement</v>
      </c>
      <c r="P100" s="3" t="str">
        <f t="shared" si="28"/>
        <v>Missing</v>
      </c>
      <c r="Q100" s="3" t="str">
        <f t="shared" si="29"/>
        <v>Missing</v>
      </c>
      <c r="R100" s="3" t="str">
        <f t="shared" si="30"/>
        <v>Missing</v>
      </c>
      <c r="S100" s="3" t="str">
        <f t="shared" si="31"/>
        <v>Missing</v>
      </c>
    </row>
    <row r="101" spans="1:19" x14ac:dyDescent="0.25">
      <c r="A101" s="7" t="s">
        <v>285</v>
      </c>
      <c r="B101" s="13">
        <v>248</v>
      </c>
      <c r="C101" s="13">
        <v>486</v>
      </c>
      <c r="D101" s="13" t="str">
        <f>IF(tblProducts[[#This Row],[Current Price]]="","Missing",IF(tblProducts[[#This Row],[Current Price]]&lt;=Price_Q1,"Low Price",IF(tblProducts[[#This Row],[Current Price]]&lt;=Price_Q3,"Medium Price","High Price")))</f>
        <v>Low Price</v>
      </c>
      <c r="E101" s="8">
        <f t="shared" si="24"/>
        <v>238</v>
      </c>
      <c r="F101" s="17">
        <f t="shared" si="25"/>
        <v>0.48971193415637859</v>
      </c>
      <c r="G101" s="17">
        <v>0.49</v>
      </c>
      <c r="H101" s="17" t="str">
        <f>IF(tblProducts[[#This Row],[Advertised Discount]]="","Missing",IF(tblProducts[[#This Row],[Advertised Discount]]&lt;20%,"Low Discount",IF(tblProducts[[#This Row],[Advertised Discount]]&lt;=40%,"Medium Discount","High Discount")))</f>
        <v>High Discount</v>
      </c>
      <c r="I101" s="17" t="str" cm="1">
        <f t="array" ref="I101">IF(OR(tblProducts[Advertised Discount]&lt;0%,tblProducts[Advertised Discount]&gt;100%),"Check rating","OK")</f>
        <v>OK</v>
      </c>
      <c r="J101" s="2"/>
      <c r="K101" s="9" t="s">
        <v>78</v>
      </c>
      <c r="L101" s="3" t="str">
        <f>IF(tblProducts[[#This Row],[Rating]]="","Missing",IF(tblProducts[[#This Row],[Rating]]&lt;3,"Poor",IF(tblProducts[[#This Row],[Rating]]&lt;=4.5,"Average","Excellent")))</f>
        <v>Missing</v>
      </c>
      <c r="M101" s="3" t="str">
        <f>IF(OR(tblProducts[[#This Row],[Rating]]&lt;0,tblProducts[[#This Row],[Rating]]&gt;5),"Check rating","OK")</f>
        <v>Check rating</v>
      </c>
      <c r="N101" s="3" t="str">
        <f t="shared" si="26"/>
        <v>Missing rating and review</v>
      </c>
      <c r="O101" s="3" t="str">
        <f t="shared" si="27"/>
        <v>Weak Engagement</v>
      </c>
      <c r="P101" s="3" t="str">
        <f t="shared" si="28"/>
        <v>Missing</v>
      </c>
      <c r="Q101" s="3" t="str">
        <f t="shared" si="29"/>
        <v>Missing</v>
      </c>
      <c r="R101" s="3" t="str">
        <f t="shared" si="30"/>
        <v>Missing</v>
      </c>
      <c r="S101" s="3" t="str">
        <f t="shared" si="31"/>
        <v>Missing</v>
      </c>
    </row>
    <row r="102" spans="1:19" x14ac:dyDescent="0.25">
      <c r="A102" s="7" t="s">
        <v>135</v>
      </c>
      <c r="B102" s="13">
        <v>238</v>
      </c>
      <c r="C102" s="13">
        <v>476</v>
      </c>
      <c r="D102" s="13" t="str">
        <f>IF(tblProducts[[#This Row],[Current Price]]="","Missing",IF(tblProducts[[#This Row],[Current Price]]&lt;=Price_Q1,"Low Price",IF(tblProducts[[#This Row],[Current Price]]&lt;=Price_Q3,"Medium Price","High Price")))</f>
        <v>Low Price</v>
      </c>
      <c r="E102" s="8">
        <f t="shared" si="24"/>
        <v>238</v>
      </c>
      <c r="F102" s="17">
        <f t="shared" si="25"/>
        <v>0.5</v>
      </c>
      <c r="G102" s="17">
        <v>0.5</v>
      </c>
      <c r="H102" s="17" t="str">
        <f>IF(tblProducts[[#This Row],[Advertised Discount]]="","Missing",IF(tblProducts[[#This Row],[Advertised Discount]]&lt;20%,"Low Discount",IF(tblProducts[[#This Row],[Advertised Discount]]&lt;=40%,"Medium Discount","High Discount")))</f>
        <v>High Discount</v>
      </c>
      <c r="I102" s="17" t="str" cm="1">
        <f t="array" ref="I102">IF(OR(tblProducts[Advertised Discount]&lt;0%,tblProducts[Advertised Discount]&gt;100%),"Check rating","OK")</f>
        <v>OK</v>
      </c>
      <c r="J102" s="2"/>
      <c r="K102" s="9" t="s">
        <v>78</v>
      </c>
      <c r="L102" s="3" t="str">
        <f>IF(tblProducts[[#This Row],[Rating]]="","Missing",IF(tblProducts[[#This Row],[Rating]]&lt;3,"Poor",IF(tblProducts[[#This Row],[Rating]]&lt;=4.5,"Average","Excellent")))</f>
        <v>Missing</v>
      </c>
      <c r="M102" s="3" t="str">
        <f>IF(OR(tblProducts[[#This Row],[Rating]]&lt;0,tblProducts[[#This Row],[Rating]]&gt;5),"Check rating","OK")</f>
        <v>Check rating</v>
      </c>
      <c r="N102" s="3" t="str">
        <f t="shared" si="26"/>
        <v>Missing rating and review</v>
      </c>
      <c r="O102" s="3" t="str">
        <f t="shared" si="27"/>
        <v>Weak Engagement</v>
      </c>
      <c r="P102" s="3" t="str">
        <f t="shared" si="28"/>
        <v>Missing</v>
      </c>
      <c r="Q102" s="3" t="str">
        <f t="shared" si="29"/>
        <v>Missing</v>
      </c>
      <c r="R102" s="3" t="str">
        <f t="shared" si="30"/>
        <v>Missing</v>
      </c>
      <c r="S102" s="3" t="str">
        <f t="shared" si="31"/>
        <v>Missing</v>
      </c>
    </row>
    <row r="103" spans="1:19" x14ac:dyDescent="0.25">
      <c r="A103" s="7" t="s">
        <v>241</v>
      </c>
      <c r="B103" s="13">
        <v>230</v>
      </c>
      <c r="C103" s="13">
        <v>450</v>
      </c>
      <c r="D103" s="13" t="str">
        <f>IF(tblProducts[[#This Row],[Current Price]]="","Missing",IF(tblProducts[[#This Row],[Current Price]]&lt;=Price_Q1,"Low Price",IF(tblProducts[[#This Row],[Current Price]]&lt;=Price_Q3,"Medium Price","High Price")))</f>
        <v>Low Price</v>
      </c>
      <c r="E103" s="8">
        <f t="shared" si="24"/>
        <v>220</v>
      </c>
      <c r="F103" s="17">
        <f t="shared" si="25"/>
        <v>0.48888888888888887</v>
      </c>
      <c r="G103" s="17">
        <v>0.49</v>
      </c>
      <c r="H103" s="17" t="str">
        <f>IF(tblProducts[[#This Row],[Advertised Discount]]="","Missing",IF(tblProducts[[#This Row],[Advertised Discount]]&lt;20%,"Low Discount",IF(tblProducts[[#This Row],[Advertised Discount]]&lt;=40%,"Medium Discount","High Discount")))</f>
        <v>High Discount</v>
      </c>
      <c r="I103" s="17" t="str" cm="1">
        <f t="array" ref="I103">IF(OR(tblProducts[Advertised Discount]&lt;0%,tblProducts[Advertised Discount]&gt;100%),"Check rating","OK")</f>
        <v>OK</v>
      </c>
      <c r="J103" s="2"/>
      <c r="K103" s="9" t="s">
        <v>78</v>
      </c>
      <c r="L103" s="3" t="str">
        <f>IF(tblProducts[[#This Row],[Rating]]="","Missing",IF(tblProducts[[#This Row],[Rating]]&lt;3,"Poor",IF(tblProducts[[#This Row],[Rating]]&lt;=4.5,"Average","Excellent")))</f>
        <v>Missing</v>
      </c>
      <c r="M103" s="3" t="str">
        <f>IF(OR(tblProducts[[#This Row],[Rating]]&lt;0,tblProducts[[#This Row],[Rating]]&gt;5),"Check rating","OK")</f>
        <v>Check rating</v>
      </c>
      <c r="N103" s="3" t="str">
        <f t="shared" si="26"/>
        <v>Missing rating and review</v>
      </c>
      <c r="O103" s="3" t="str">
        <f t="shared" si="27"/>
        <v>Weak Engagement</v>
      </c>
      <c r="P103" s="3" t="str">
        <f t="shared" si="28"/>
        <v>Missing</v>
      </c>
      <c r="Q103" s="3" t="str">
        <f t="shared" si="29"/>
        <v>Missing</v>
      </c>
      <c r="R103" s="3" t="str">
        <f t="shared" si="30"/>
        <v>Missing</v>
      </c>
      <c r="S103" s="3" t="str">
        <f t="shared" si="31"/>
        <v>Missing</v>
      </c>
    </row>
    <row r="104" spans="1:19" x14ac:dyDescent="0.25">
      <c r="A104" s="7" t="s">
        <v>155</v>
      </c>
      <c r="B104" s="13">
        <v>199</v>
      </c>
      <c r="C104" s="13">
        <v>504</v>
      </c>
      <c r="D104" s="13" t="str">
        <f>IF(tblProducts[[#This Row],[Current Price]]="","Missing",IF(tblProducts[[#This Row],[Current Price]]&lt;=Price_Q1,"Low Price",IF(tblProducts[[#This Row],[Current Price]]&lt;=Price_Q3,"Medium Price","High Price")))</f>
        <v>Low Price</v>
      </c>
      <c r="E104" s="8">
        <f t="shared" si="24"/>
        <v>305</v>
      </c>
      <c r="F104" s="17">
        <f t="shared" si="25"/>
        <v>0.60515873015873012</v>
      </c>
      <c r="G104" s="17">
        <v>0.61</v>
      </c>
      <c r="H104" s="17" t="str">
        <f>IF(tblProducts[[#This Row],[Advertised Discount]]="","Missing",IF(tblProducts[[#This Row],[Advertised Discount]]&lt;20%,"Low Discount",IF(tblProducts[[#This Row],[Advertised Discount]]&lt;=40%,"Medium Discount","High Discount")))</f>
        <v>High Discount</v>
      </c>
      <c r="I104" s="17" t="str" cm="1">
        <f t="array" ref="I104">IF(OR(tblProducts[Advertised Discount]&lt;0%,tblProducts[Advertised Discount]&gt;100%),"Check rating","OK")</f>
        <v>OK</v>
      </c>
      <c r="J104" s="2"/>
      <c r="K104" s="9" t="s">
        <v>78</v>
      </c>
      <c r="L104" s="3" t="str">
        <f>IF(tblProducts[[#This Row],[Rating]]="","Missing",IF(tblProducts[[#This Row],[Rating]]&lt;3,"Poor",IF(tblProducts[[#This Row],[Rating]]&lt;=4.5,"Average","Excellent")))</f>
        <v>Missing</v>
      </c>
      <c r="M104" s="3" t="str">
        <f>IF(OR(tblProducts[[#This Row],[Rating]]&lt;0,tblProducts[[#This Row],[Rating]]&gt;5),"Check rating","OK")</f>
        <v>Check rating</v>
      </c>
      <c r="N104" s="3" t="str">
        <f t="shared" si="26"/>
        <v>Missing rating and review</v>
      </c>
      <c r="O104" s="3" t="str">
        <f t="shared" si="27"/>
        <v>Weak Engagement</v>
      </c>
      <c r="P104" s="3" t="str">
        <f t="shared" si="28"/>
        <v>Missing</v>
      </c>
      <c r="Q104" s="3" t="str">
        <f t="shared" si="29"/>
        <v>Missing</v>
      </c>
      <c r="R104" s="3" t="str">
        <f t="shared" si="30"/>
        <v>Missing</v>
      </c>
      <c r="S104" s="3" t="str">
        <f t="shared" si="31"/>
        <v>Missing</v>
      </c>
    </row>
    <row r="105" spans="1:19" x14ac:dyDescent="0.25">
      <c r="A105" s="7" t="s">
        <v>317</v>
      </c>
      <c r="B105" s="13">
        <v>199</v>
      </c>
      <c r="C105" s="13">
        <v>553</v>
      </c>
      <c r="D105" s="13" t="str">
        <f>IF(tblProducts[[#This Row],[Current Price]]="","Missing",IF(tblProducts[[#This Row],[Current Price]]&lt;=Price_Q1,"Low Price",IF(tblProducts[[#This Row],[Current Price]]&lt;=Price_Q3,"Medium Price","High Price")))</f>
        <v>Low Price</v>
      </c>
      <c r="E105" s="8">
        <f t="shared" si="24"/>
        <v>354</v>
      </c>
      <c r="F105" s="17">
        <f t="shared" si="25"/>
        <v>0.64014466546112114</v>
      </c>
      <c r="G105" s="17">
        <v>0.64</v>
      </c>
      <c r="H105" s="17" t="str">
        <f>IF(tblProducts[[#This Row],[Advertised Discount]]="","Missing",IF(tblProducts[[#This Row],[Advertised Discount]]&lt;20%,"Low Discount",IF(tblProducts[[#This Row],[Advertised Discount]]&lt;=40%,"Medium Discount","High Discount")))</f>
        <v>High Discount</v>
      </c>
      <c r="I105" s="17" t="str" cm="1">
        <f t="array" ref="I105">IF(OR(tblProducts[Advertised Discount]&lt;0%,tblProducts[Advertised Discount]&gt;100%),"Check rating","OK")</f>
        <v>OK</v>
      </c>
      <c r="J105" s="2"/>
      <c r="K105" s="9" t="s">
        <v>78</v>
      </c>
      <c r="L105" s="3" t="str">
        <f>IF(tblProducts[[#This Row],[Rating]]="","Missing",IF(tblProducts[[#This Row],[Rating]]&lt;3,"Poor",IF(tblProducts[[#This Row],[Rating]]&lt;=4.5,"Average","Excellent")))</f>
        <v>Missing</v>
      </c>
      <c r="M105" s="3" t="str">
        <f>IF(OR(tblProducts[[#This Row],[Rating]]&lt;0,tblProducts[[#This Row],[Rating]]&gt;5),"Check rating","OK")</f>
        <v>Check rating</v>
      </c>
      <c r="N105" s="3" t="str">
        <f t="shared" si="26"/>
        <v>Missing rating and review</v>
      </c>
      <c r="O105" s="3" t="str">
        <f t="shared" si="27"/>
        <v>Weak Engagement</v>
      </c>
      <c r="P105" s="3" t="str">
        <f t="shared" si="28"/>
        <v>Missing</v>
      </c>
      <c r="Q105" s="3" t="str">
        <f t="shared" si="29"/>
        <v>Missing</v>
      </c>
      <c r="R105" s="3" t="str">
        <f t="shared" si="30"/>
        <v>Missing</v>
      </c>
      <c r="S105" s="3" t="str">
        <f t="shared" si="31"/>
        <v>Missing</v>
      </c>
    </row>
    <row r="106" spans="1:19" x14ac:dyDescent="0.25">
      <c r="A106" s="7" t="s">
        <v>305</v>
      </c>
      <c r="B106" s="13">
        <v>198</v>
      </c>
      <c r="C106" s="13">
        <v>260</v>
      </c>
      <c r="D106" s="13" t="str">
        <f>IF(tblProducts[[#This Row],[Current Price]]="","Missing",IF(tblProducts[[#This Row],[Current Price]]&lt;=Price_Q1,"Low Price",IF(tblProducts[[#This Row],[Current Price]]&lt;=Price_Q3,"Medium Price","High Price")))</f>
        <v>Low Price</v>
      </c>
      <c r="E106" s="8">
        <f t="shared" si="24"/>
        <v>62</v>
      </c>
      <c r="F106" s="17">
        <f t="shared" si="25"/>
        <v>0.23846153846153847</v>
      </c>
      <c r="G106" s="17">
        <v>0.24</v>
      </c>
      <c r="H106" s="17" t="str">
        <f>IF(tblProducts[[#This Row],[Advertised Discount]]="","Missing",IF(tblProducts[[#This Row],[Advertised Discount]]&lt;20%,"Low Discount",IF(tblProducts[[#This Row],[Advertised Discount]]&lt;=40%,"Medium Discount","High Discount")))</f>
        <v>Medium Discount</v>
      </c>
      <c r="I106" s="17" t="str" cm="1">
        <f t="array" ref="I106">IF(OR(tblProducts[Advertised Discount]&lt;0%,tblProducts[Advertised Discount]&gt;100%),"Check rating","OK")</f>
        <v>OK</v>
      </c>
      <c r="J106" s="2"/>
      <c r="K106" s="9" t="s">
        <v>78</v>
      </c>
      <c r="L106" s="3" t="str">
        <f>IF(tblProducts[[#This Row],[Rating]]="","Missing",IF(tblProducts[[#This Row],[Rating]]&lt;3,"Poor",IF(tblProducts[[#This Row],[Rating]]&lt;=4.5,"Average","Excellent")))</f>
        <v>Missing</v>
      </c>
      <c r="M106" s="3" t="str">
        <f>IF(OR(tblProducts[[#This Row],[Rating]]&lt;0,tblProducts[[#This Row],[Rating]]&gt;5),"Check rating","OK")</f>
        <v>Check rating</v>
      </c>
      <c r="N106" s="3" t="str">
        <f t="shared" si="26"/>
        <v>Missing rating and review</v>
      </c>
      <c r="O106" s="3" t="str">
        <f t="shared" si="27"/>
        <v>Weak Engagement</v>
      </c>
      <c r="P106" s="3" t="str">
        <f t="shared" si="28"/>
        <v>Missing</v>
      </c>
      <c r="Q106" s="3" t="str">
        <f t="shared" si="29"/>
        <v>Missing</v>
      </c>
      <c r="R106" s="3" t="str">
        <f t="shared" si="30"/>
        <v>Missing</v>
      </c>
      <c r="S106" s="3" t="str">
        <f t="shared" si="31"/>
        <v>Missing</v>
      </c>
    </row>
    <row r="107" spans="1:19" x14ac:dyDescent="0.25">
      <c r="A107" s="7" t="s">
        <v>60</v>
      </c>
      <c r="B107" s="13">
        <v>195</v>
      </c>
      <c r="C107" s="13">
        <v>360</v>
      </c>
      <c r="D107" s="13" t="str">
        <f>IF(tblProducts[[#This Row],[Current Price]]="","Missing",IF(tblProducts[[#This Row],[Current Price]]&lt;=Price_Q1,"Low Price",IF(tblProducts[[#This Row],[Current Price]]&lt;=Price_Q3,"Medium Price","High Price")))</f>
        <v>Low Price</v>
      </c>
      <c r="E107" s="8">
        <f t="shared" si="24"/>
        <v>165</v>
      </c>
      <c r="F107" s="17">
        <f t="shared" si="25"/>
        <v>0.45833333333333331</v>
      </c>
      <c r="G107" s="17">
        <v>0.46</v>
      </c>
      <c r="H107" s="17" t="str">
        <f>IF(tblProducts[[#This Row],[Advertised Discount]]="","Missing",IF(tblProducts[[#This Row],[Advertised Discount]]&lt;20%,"Low Discount",IF(tblProducts[[#This Row],[Advertised Discount]]&lt;=40%,"Medium Discount","High Discount")))</f>
        <v>High Discount</v>
      </c>
      <c r="I107" s="17" t="str" cm="1">
        <f t="array" ref="I107">IF(OR(tblProducts[Advertised Discount]&lt;0%,tblProducts[Advertised Discount]&gt;100%),"Check rating","OK")</f>
        <v>OK</v>
      </c>
      <c r="J107" s="2">
        <v>2</v>
      </c>
      <c r="K107" s="9">
        <v>5</v>
      </c>
      <c r="L107" s="3" t="str">
        <f>IF(tblProducts[[#This Row],[Rating]]="","Missing",IF(tblProducts[[#This Row],[Rating]]&lt;3,"Poor",IF(tblProducts[[#This Row],[Rating]]&lt;=4.5,"Average","Excellent")))</f>
        <v>Excellent</v>
      </c>
      <c r="M107" s="3" t="str">
        <f>IF(OR(tblProducts[[#This Row],[Rating]]&lt;0,tblProducts[[#This Row],[Rating]]&gt;5),"Check rating","OK")</f>
        <v>OK</v>
      </c>
      <c r="N107" s="3" t="str">
        <f t="shared" si="26"/>
        <v>Complete</v>
      </c>
      <c r="O107" s="3" t="str">
        <f t="shared" si="27"/>
        <v>Weak Engagement</v>
      </c>
      <c r="P107" s="3" t="str">
        <f t="shared" si="28"/>
        <v>No</v>
      </c>
      <c r="Q107" s="3" t="str">
        <f t="shared" si="29"/>
        <v>Yes</v>
      </c>
      <c r="R107" s="3" t="str">
        <f t="shared" si="30"/>
        <v>No</v>
      </c>
      <c r="S107" s="3" t="str">
        <f t="shared" si="31"/>
        <v>No</v>
      </c>
    </row>
    <row r="108" spans="1:19" x14ac:dyDescent="0.25">
      <c r="A108" s="7" t="s">
        <v>103</v>
      </c>
      <c r="B108" s="13">
        <v>185</v>
      </c>
      <c r="C108" s="13">
        <v>382</v>
      </c>
      <c r="D108" s="13" t="str">
        <f>IF(tblProducts[[#This Row],[Current Price]]="","Missing",IF(tblProducts[[#This Row],[Current Price]]&lt;=Price_Q1,"Low Price",IF(tblProducts[[#This Row],[Current Price]]&lt;=Price_Q3,"Medium Price","High Price")))</f>
        <v>Low Price</v>
      </c>
      <c r="E108" s="8">
        <f t="shared" si="24"/>
        <v>197</v>
      </c>
      <c r="F108" s="17">
        <f t="shared" si="25"/>
        <v>0.51570680628272247</v>
      </c>
      <c r="G108" s="17">
        <v>0.52</v>
      </c>
      <c r="H108" s="17" t="str">
        <f>IF(tblProducts[[#This Row],[Advertised Discount]]="","Missing",IF(tblProducts[[#This Row],[Advertised Discount]]&lt;20%,"Low Discount",IF(tblProducts[[#This Row],[Advertised Discount]]&lt;=40%,"Medium Discount","High Discount")))</f>
        <v>High Discount</v>
      </c>
      <c r="I108" s="17" t="str" cm="1">
        <f t="array" ref="I108">IF(OR(tblProducts[Advertised Discount]&lt;0%,tblProducts[Advertised Discount]&gt;100%),"Check rating","OK")</f>
        <v>OK</v>
      </c>
      <c r="J108" s="2">
        <v>9</v>
      </c>
      <c r="K108" s="9">
        <v>4.3</v>
      </c>
      <c r="L108" s="3" t="str">
        <f>IF(tblProducts[[#This Row],[Rating]]="","Missing",IF(tblProducts[[#This Row],[Rating]]&lt;3,"Poor",IF(tblProducts[[#This Row],[Rating]]&lt;=4.5,"Average","Excellent")))</f>
        <v>Average</v>
      </c>
      <c r="M108" s="3" t="str">
        <f>IF(OR(tblProducts[[#This Row],[Rating]]&lt;0,tblProducts[[#This Row],[Rating]]&gt;5),"Check rating","OK")</f>
        <v>OK</v>
      </c>
      <c r="N108" s="3" t="str">
        <f t="shared" si="26"/>
        <v>Complete</v>
      </c>
      <c r="O108" s="3" t="str">
        <f t="shared" si="27"/>
        <v>Weak Engagement</v>
      </c>
      <c r="P108" s="3" t="str">
        <f t="shared" si="28"/>
        <v>No</v>
      </c>
      <c r="Q108" s="3" t="str">
        <f t="shared" si="29"/>
        <v>Yes</v>
      </c>
      <c r="R108" s="3" t="str">
        <f t="shared" si="30"/>
        <v>No</v>
      </c>
      <c r="S108" s="3" t="str">
        <f t="shared" si="31"/>
        <v>No</v>
      </c>
    </row>
    <row r="109" spans="1:19" x14ac:dyDescent="0.25">
      <c r="A109" s="7" t="s">
        <v>155</v>
      </c>
      <c r="B109" s="13">
        <v>176</v>
      </c>
      <c r="C109" s="13">
        <v>345</v>
      </c>
      <c r="D109" s="13" t="str">
        <f>IF(tblProducts[[#This Row],[Current Price]]="","Missing",IF(tblProducts[[#This Row],[Current Price]]&lt;=Price_Q1,"Low Price",IF(tblProducts[[#This Row],[Current Price]]&lt;=Price_Q3,"Medium Price","High Price")))</f>
        <v>Low Price</v>
      </c>
      <c r="E109" s="8">
        <f t="shared" si="24"/>
        <v>169</v>
      </c>
      <c r="F109" s="17">
        <f t="shared" si="25"/>
        <v>0.48985507246376814</v>
      </c>
      <c r="G109" s="17">
        <v>0.49</v>
      </c>
      <c r="H109" s="17" t="str">
        <f>IF(tblProducts[[#This Row],[Advertised Discount]]="","Missing",IF(tblProducts[[#This Row],[Advertised Discount]]&lt;20%,"Low Discount",IF(tblProducts[[#This Row],[Advertised Discount]]&lt;=40%,"Medium Discount","High Discount")))</f>
        <v>High Discount</v>
      </c>
      <c r="I109" s="17" t="str" cm="1">
        <f t="array" ref="I109">IF(OR(tblProducts[Advertised Discount]&lt;0%,tblProducts[Advertised Discount]&gt;100%),"Check rating","OK")</f>
        <v>OK</v>
      </c>
      <c r="J109" s="2"/>
      <c r="K109" s="9" t="s">
        <v>78</v>
      </c>
      <c r="L109" s="3" t="str">
        <f>IF(tblProducts[[#This Row],[Rating]]="","Missing",IF(tblProducts[[#This Row],[Rating]]&lt;3,"Poor",IF(tblProducts[[#This Row],[Rating]]&lt;=4.5,"Average","Excellent")))</f>
        <v>Missing</v>
      </c>
      <c r="M109" s="3" t="str">
        <f>IF(OR(tblProducts[[#This Row],[Rating]]&lt;0,tblProducts[[#This Row],[Rating]]&gt;5),"Check rating","OK")</f>
        <v>Check rating</v>
      </c>
      <c r="N109" s="3" t="str">
        <f t="shared" si="26"/>
        <v>Missing rating and review</v>
      </c>
      <c r="O109" s="3" t="str">
        <f t="shared" si="27"/>
        <v>Weak Engagement</v>
      </c>
      <c r="P109" s="3" t="str">
        <f t="shared" si="28"/>
        <v>Missing</v>
      </c>
      <c r="Q109" s="3" t="str">
        <f t="shared" si="29"/>
        <v>Missing</v>
      </c>
      <c r="R109" s="3" t="str">
        <f t="shared" si="30"/>
        <v>Missing</v>
      </c>
      <c r="S109" s="3" t="str">
        <f t="shared" si="31"/>
        <v>Missing</v>
      </c>
    </row>
    <row r="110" spans="1:19" x14ac:dyDescent="0.25">
      <c r="A110" s="7" t="s">
        <v>121</v>
      </c>
      <c r="B110" s="13">
        <v>171</v>
      </c>
      <c r="C110" s="13">
        <v>360</v>
      </c>
      <c r="D110" s="13" t="str">
        <f>IF(tblProducts[[#This Row],[Current Price]]="","Missing",IF(tblProducts[[#This Row],[Current Price]]&lt;=Price_Q1,"Low Price",IF(tblProducts[[#This Row],[Current Price]]&lt;=Price_Q3,"Medium Price","High Price")))</f>
        <v>Low Price</v>
      </c>
      <c r="E110" s="8">
        <f t="shared" si="24"/>
        <v>189</v>
      </c>
      <c r="F110" s="17">
        <f t="shared" si="25"/>
        <v>0.52500000000000002</v>
      </c>
      <c r="G110" s="17">
        <v>0.53</v>
      </c>
      <c r="H110" s="17" t="str">
        <f>IF(tblProducts[[#This Row],[Advertised Discount]]="","Missing",IF(tblProducts[[#This Row],[Advertised Discount]]&lt;20%,"Low Discount",IF(tblProducts[[#This Row],[Advertised Discount]]&lt;=40%,"Medium Discount","High Discount")))</f>
        <v>High Discount</v>
      </c>
      <c r="I110" s="17" t="str" cm="1">
        <f t="array" ref="I110">IF(OR(tblProducts[Advertised Discount]&lt;0%,tblProducts[Advertised Discount]&gt;100%),"Check rating","OK")</f>
        <v>OK</v>
      </c>
      <c r="J110" s="2">
        <v>2</v>
      </c>
      <c r="K110" s="9">
        <v>5</v>
      </c>
      <c r="L110" s="3" t="str">
        <f>IF(tblProducts[[#This Row],[Rating]]="","Missing",IF(tblProducts[[#This Row],[Rating]]&lt;3,"Poor",IF(tblProducts[[#This Row],[Rating]]&lt;=4.5,"Average","Excellent")))</f>
        <v>Excellent</v>
      </c>
      <c r="M110" s="3" t="str">
        <f>IF(OR(tblProducts[[#This Row],[Rating]]&lt;0,tblProducts[[#This Row],[Rating]]&gt;5),"Check rating","OK")</f>
        <v>OK</v>
      </c>
      <c r="N110" s="3" t="str">
        <f t="shared" si="26"/>
        <v>Complete</v>
      </c>
      <c r="O110" s="3" t="str">
        <f t="shared" si="27"/>
        <v>Weak Engagement</v>
      </c>
      <c r="P110" s="3" t="str">
        <f t="shared" si="28"/>
        <v>No</v>
      </c>
      <c r="Q110" s="3" t="str">
        <f t="shared" si="29"/>
        <v>Yes</v>
      </c>
      <c r="R110" s="3" t="str">
        <f t="shared" si="30"/>
        <v>No</v>
      </c>
      <c r="S110" s="3" t="str">
        <f t="shared" si="31"/>
        <v>No</v>
      </c>
    </row>
    <row r="111" spans="1:19" x14ac:dyDescent="0.25">
      <c r="A111" s="7" t="s">
        <v>321</v>
      </c>
      <c r="B111" s="13">
        <v>169</v>
      </c>
      <c r="C111" s="13">
        <v>320</v>
      </c>
      <c r="D111" s="13" t="str">
        <f>IF(tblProducts[[#This Row],[Current Price]]="","Missing",IF(tblProducts[[#This Row],[Current Price]]&lt;=Price_Q1,"Low Price",IF(tblProducts[[#This Row],[Current Price]]&lt;=Price_Q3,"Medium Price","High Price")))</f>
        <v>Low Price</v>
      </c>
      <c r="E111" s="8">
        <f t="shared" si="24"/>
        <v>151</v>
      </c>
      <c r="F111" s="17">
        <f t="shared" si="25"/>
        <v>0.47187499999999999</v>
      </c>
      <c r="G111" s="17">
        <v>0.47</v>
      </c>
      <c r="H111" s="17" t="str">
        <f>IF(tblProducts[[#This Row],[Advertised Discount]]="","Missing",IF(tblProducts[[#This Row],[Advertised Discount]]&lt;20%,"Low Discount",IF(tblProducts[[#This Row],[Advertised Discount]]&lt;=40%,"Medium Discount","High Discount")))</f>
        <v>High Discount</v>
      </c>
      <c r="I111" s="17" t="str" cm="1">
        <f t="array" ref="I111">IF(OR(tblProducts[Advertised Discount]&lt;0%,tblProducts[Advertised Discount]&gt;100%),"Check rating","OK")</f>
        <v>OK</v>
      </c>
      <c r="J111" s="2"/>
      <c r="K111" s="9" t="s">
        <v>78</v>
      </c>
      <c r="L111" s="3" t="str">
        <f>IF(tblProducts[[#This Row],[Rating]]="","Missing",IF(tblProducts[[#This Row],[Rating]]&lt;3,"Poor",IF(tblProducts[[#This Row],[Rating]]&lt;=4.5,"Average","Excellent")))</f>
        <v>Missing</v>
      </c>
      <c r="M111" s="3" t="str">
        <f>IF(OR(tblProducts[[#This Row],[Rating]]&lt;0,tblProducts[[#This Row],[Rating]]&gt;5),"Check rating","OK")</f>
        <v>Check rating</v>
      </c>
      <c r="N111" s="3" t="str">
        <f t="shared" si="26"/>
        <v>Missing rating and review</v>
      </c>
      <c r="O111" s="3" t="str">
        <f t="shared" si="27"/>
        <v>Weak Engagement</v>
      </c>
      <c r="P111" s="3" t="str">
        <f t="shared" si="28"/>
        <v>Missing</v>
      </c>
      <c r="Q111" s="3" t="str">
        <f t="shared" si="29"/>
        <v>Missing</v>
      </c>
      <c r="R111" s="3" t="str">
        <f t="shared" si="30"/>
        <v>Missing</v>
      </c>
      <c r="S111" s="3" t="str">
        <f t="shared" si="31"/>
        <v>Missing</v>
      </c>
    </row>
    <row r="112" spans="1:19" x14ac:dyDescent="0.25">
      <c r="A112" s="7" t="s">
        <v>275</v>
      </c>
      <c r="B112" s="13">
        <v>105</v>
      </c>
      <c r="C112" s="13">
        <v>200</v>
      </c>
      <c r="D112" s="13" t="str">
        <f>IF(tblProducts[[#This Row],[Current Price]]="","Missing",IF(tblProducts[[#This Row],[Current Price]]&lt;=Price_Q1,"Low Price",IF(tblProducts[[#This Row],[Current Price]]&lt;=Price_Q3,"Medium Price","High Price")))</f>
        <v>Low Price</v>
      </c>
      <c r="E112" s="8">
        <f t="shared" si="24"/>
        <v>95</v>
      </c>
      <c r="F112" s="17">
        <f t="shared" si="25"/>
        <v>0.47499999999999998</v>
      </c>
      <c r="G112" s="17">
        <v>0.48</v>
      </c>
      <c r="H112" s="17" t="str">
        <f>IF(tblProducts[[#This Row],[Advertised Discount]]="","Missing",IF(tblProducts[[#This Row],[Advertised Discount]]&lt;20%,"Low Discount",IF(tblProducts[[#This Row],[Advertised Discount]]&lt;=40%,"Medium Discount","High Discount")))</f>
        <v>High Discount</v>
      </c>
      <c r="I112" s="17" t="str" cm="1">
        <f t="array" ref="I112">IF(OR(tblProducts[Advertised Discount]&lt;0%,tblProducts[Advertised Discount]&gt;100%),"Check rating","OK")</f>
        <v>OK</v>
      </c>
      <c r="J112" s="2"/>
      <c r="K112" s="9" t="s">
        <v>78</v>
      </c>
      <c r="L112" s="3" t="str">
        <f>IF(tblProducts[[#This Row],[Rating]]="","Missing",IF(tblProducts[[#This Row],[Rating]]&lt;3,"Poor",IF(tblProducts[[#This Row],[Rating]]&lt;=4.5,"Average","Excellent")))</f>
        <v>Missing</v>
      </c>
      <c r="M112" s="3" t="str">
        <f>IF(OR(tblProducts[[#This Row],[Rating]]&lt;0,tblProducts[[#This Row],[Rating]]&gt;5),"Check rating","OK")</f>
        <v>Check rating</v>
      </c>
      <c r="N112" s="3" t="str">
        <f t="shared" si="26"/>
        <v>Missing rating and review</v>
      </c>
      <c r="O112" s="3" t="str">
        <f t="shared" si="27"/>
        <v>Weak Engagement</v>
      </c>
      <c r="P112" s="3" t="str">
        <f t="shared" si="28"/>
        <v>Missing</v>
      </c>
      <c r="Q112" s="3" t="str">
        <f t="shared" si="29"/>
        <v>Missing</v>
      </c>
      <c r="R112" s="3" t="str">
        <f t="shared" si="30"/>
        <v>Missing</v>
      </c>
      <c r="S112" s="3" t="str">
        <f t="shared" si="31"/>
        <v>Missing</v>
      </c>
    </row>
    <row r="113" spans="1:19" x14ac:dyDescent="0.25">
      <c r="A113" s="10" t="s">
        <v>71</v>
      </c>
      <c r="B113" s="14">
        <v>38</v>
      </c>
      <c r="C113" s="14">
        <v>80</v>
      </c>
      <c r="D113" s="14" t="str">
        <f>IF(tblProducts[[#This Row],[Current Price]]="","Missing",IF(tblProducts[[#This Row],[Current Price]]&lt;=Price_Q1,"Low Price",IF(tblProducts[[#This Row],[Current Price]]&lt;=Price_Q3,"Medium Price","High Price")))</f>
        <v>Low Price</v>
      </c>
      <c r="E113" s="11">
        <f t="shared" si="24"/>
        <v>42</v>
      </c>
      <c r="F113" s="18">
        <f t="shared" si="25"/>
        <v>0.52500000000000002</v>
      </c>
      <c r="G113" s="18">
        <v>0.53</v>
      </c>
      <c r="H113" s="18" t="str">
        <f>IF(tblProducts[[#This Row],[Advertised Discount]]="","Missing",IF(tblProducts[[#This Row],[Advertised Discount]]&lt;20%,"Low Discount",IF(tblProducts[[#This Row],[Advertised Discount]]&lt;=40%,"Medium Discount","High Discount")))</f>
        <v>High Discount</v>
      </c>
      <c r="I113" s="18" t="str" cm="1">
        <f t="array" ref="I113">IF(OR(tblProducts[Advertised Discount]&lt;0%,tblProducts[Advertised Discount]&gt;100%),"Check rating","OK")</f>
        <v>OK</v>
      </c>
      <c r="J113" s="6">
        <v>13</v>
      </c>
      <c r="K113" s="12">
        <v>3.3</v>
      </c>
      <c r="L113" s="3" t="str">
        <f>IF(tblProducts[[#This Row],[Rating]]="","Missing",IF(tblProducts[[#This Row],[Rating]]&lt;3,"Poor",IF(tblProducts[[#This Row],[Rating]]&lt;=4.5,"Average","Excellent")))</f>
        <v>Average</v>
      </c>
      <c r="M113" s="3" t="str">
        <f>IF(OR(tblProducts[[#This Row],[Rating]]&lt;0,tblProducts[[#This Row],[Rating]]&gt;5),"Check rating","OK")</f>
        <v>OK</v>
      </c>
      <c r="N113" s="3" t="str">
        <f t="shared" si="26"/>
        <v>Complete</v>
      </c>
      <c r="O113" s="3" t="str">
        <f t="shared" si="27"/>
        <v>Strong Engagement</v>
      </c>
      <c r="P113" s="3" t="str">
        <f t="shared" si="28"/>
        <v>No</v>
      </c>
      <c r="Q113" s="3" t="str">
        <f t="shared" si="29"/>
        <v>No</v>
      </c>
      <c r="R113" s="3" t="str">
        <f t="shared" si="30"/>
        <v>Yes</v>
      </c>
      <c r="S113" s="3" t="str">
        <f t="shared" si="31"/>
        <v>No</v>
      </c>
    </row>
  </sheetData>
  <conditionalFormatting sqref="A1:A1048576">
    <cfRule type="duplicateValues" dxfId="6" priority="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6500-6D9F-4899-B0EA-09537EC54526}">
  <dimension ref="A1:O58"/>
  <sheetViews>
    <sheetView workbookViewId="0">
      <selection activeCell="A3" sqref="A3"/>
    </sheetView>
  </sheetViews>
  <sheetFormatPr defaultRowHeight="15" x14ac:dyDescent="0.25"/>
  <cols>
    <col min="1" max="1" width="25.5703125" bestFit="1" customWidth="1"/>
    <col min="2" max="2" width="11.85546875" bestFit="1" customWidth="1"/>
    <col min="3" max="3" width="69.42578125" bestFit="1" customWidth="1"/>
    <col min="6" max="6" width="16.42578125" bestFit="1" customWidth="1"/>
    <col min="7" max="7" width="18.28515625" bestFit="1" customWidth="1"/>
    <col min="9" max="9" width="19.85546875" style="16" bestFit="1" customWidth="1"/>
    <col min="10" max="10" width="18.28515625" bestFit="1" customWidth="1"/>
    <col min="12" max="12" width="15" style="15" customWidth="1"/>
    <col min="13" max="13" width="11.140625" customWidth="1"/>
  </cols>
  <sheetData>
    <row r="1" spans="1:15" x14ac:dyDescent="0.25">
      <c r="A1">
        <f>_xlfn.QUARTILE.INC(tblProducts[Current Price],1)</f>
        <v>493</v>
      </c>
      <c r="F1" s="31" t="s">
        <v>328</v>
      </c>
      <c r="G1" s="31" t="s">
        <v>4</v>
      </c>
      <c r="I1" s="32" t="s">
        <v>3</v>
      </c>
      <c r="J1" s="31" t="s">
        <v>4</v>
      </c>
      <c r="L1" s="33" t="s">
        <v>324</v>
      </c>
      <c r="M1" s="31" t="s">
        <v>328</v>
      </c>
    </row>
    <row r="2" spans="1:15" x14ac:dyDescent="0.25">
      <c r="A2">
        <f>_xlfn.QUARTILE.INC(tblProducts[Current Price],3)</f>
        <v>1669.5</v>
      </c>
      <c r="F2" cm="1">
        <f t="array" ref="F2:F58">_xlfn._xlws.FILTER(tblProducts[Rating],(tblProducts[Rating]&lt;&gt;"")*(tblProducts[Review]&lt;&gt;""))</f>
        <v>4.5</v>
      </c>
      <c r="G2" cm="1">
        <f t="array" ref="G2:G58">_xlfn._xlws.FILTER(tblProducts[Review],(tblProducts[Rating]&lt;&gt;"")*(tblProducts[Review]&lt;&gt;""))</f>
        <v>2</v>
      </c>
      <c r="I2" s="16" cm="1">
        <f t="array" ref="I2:I58">_xlfn._xlws.FILTER(tblProducts[Advertised Discount],(tblProducts[Advertised Discount]&lt;&gt;"")*(tblProducts[Review]&lt;&gt;""))</f>
        <v>0.38</v>
      </c>
      <c r="J2" cm="1">
        <f t="array" ref="J2:J58">_xlfn._xlws.FILTER(tblProducts[Review],(tblProducts[Advertised Discount]&lt;&gt;"")*(tblProducts[Review]&lt;&gt;""))</f>
        <v>2</v>
      </c>
      <c r="L2" s="15" cm="1">
        <f t="array" ref="L2:L58">_xlfn._xlws.FILTER(tblProducts[Current Price],(tblProducts[Current Price]&lt;&gt;"")*(tblProducts[Rating]&lt;&gt;""))</f>
        <v>1800</v>
      </c>
      <c r="M2" cm="1">
        <f t="array" ref="M2:M58">_xlfn._xlws.FILTER(tblProducts[Rating],(tblProducts[Current Price]&lt;&gt;"")*(tblProducts[Rating]&lt;&gt;""))</f>
        <v>4.5</v>
      </c>
      <c r="O2">
        <f>CORREL(I:I,J:J)</f>
        <v>-0.11082649710419439</v>
      </c>
    </row>
    <row r="3" spans="1:15" x14ac:dyDescent="0.25">
      <c r="A3">
        <f>_xlfn.QUARTILE.INC(tblProducts[Review],1)</f>
        <v>2</v>
      </c>
      <c r="F3">
        <v>3</v>
      </c>
      <c r="G3">
        <v>5</v>
      </c>
      <c r="I3" s="16">
        <v>0.39</v>
      </c>
      <c r="J3">
        <v>5</v>
      </c>
      <c r="L3" s="15">
        <v>3750</v>
      </c>
      <c r="M3">
        <v>3</v>
      </c>
      <c r="O3">
        <f>CORREL(F:F,G:G)</f>
        <v>4.3355161432208481E-2</v>
      </c>
    </row>
    <row r="4" spans="1:15" x14ac:dyDescent="0.25">
      <c r="A4">
        <f>_xlfn.QUARTILE.INC(tblProducts[Review],3)</f>
        <v>13</v>
      </c>
      <c r="F4">
        <v>5</v>
      </c>
      <c r="G4">
        <v>1</v>
      </c>
      <c r="I4" s="16">
        <v>0.21</v>
      </c>
      <c r="J4">
        <v>1</v>
      </c>
      <c r="L4" s="15">
        <v>3640</v>
      </c>
      <c r="M4">
        <v>5</v>
      </c>
      <c r="O4">
        <f>CORREL(L:L,M:M)</f>
        <v>0.11009021272510708</v>
      </c>
    </row>
    <row r="5" spans="1:15" x14ac:dyDescent="0.25">
      <c r="F5">
        <v>4</v>
      </c>
      <c r="G5">
        <v>15</v>
      </c>
      <c r="I5" s="16">
        <v>0.09</v>
      </c>
      <c r="J5">
        <v>15</v>
      </c>
      <c r="L5" s="15">
        <v>2999</v>
      </c>
      <c r="M5">
        <v>4</v>
      </c>
    </row>
    <row r="6" spans="1:15" ht="18.75" x14ac:dyDescent="0.3">
      <c r="A6" s="28" t="s">
        <v>342</v>
      </c>
      <c r="F6">
        <v>4.5999999999999996</v>
      </c>
      <c r="G6">
        <v>5</v>
      </c>
      <c r="I6" s="16">
        <v>0.19</v>
      </c>
      <c r="J6">
        <v>5</v>
      </c>
      <c r="L6" s="15">
        <v>2999</v>
      </c>
      <c r="M6">
        <v>4.5999999999999996</v>
      </c>
    </row>
    <row r="7" spans="1:15" x14ac:dyDescent="0.25">
      <c r="A7" t="s">
        <v>341</v>
      </c>
      <c r="B7" t="s">
        <v>343</v>
      </c>
      <c r="C7" t="s">
        <v>352</v>
      </c>
      <c r="F7">
        <v>3.8</v>
      </c>
      <c r="G7">
        <v>12</v>
      </c>
      <c r="I7" s="16">
        <v>0.18</v>
      </c>
      <c r="J7">
        <v>12</v>
      </c>
      <c r="L7" s="15">
        <v>2880</v>
      </c>
      <c r="M7">
        <v>3.8</v>
      </c>
    </row>
    <row r="8" spans="1:15" x14ac:dyDescent="0.25">
      <c r="A8" t="s">
        <v>344</v>
      </c>
      <c r="B8" s="30">
        <f>COUNTA(tblProducts[Product])</f>
        <v>112</v>
      </c>
      <c r="C8" t="s">
        <v>353</v>
      </c>
      <c r="F8">
        <v>4.5999999999999996</v>
      </c>
      <c r="G8">
        <v>55</v>
      </c>
      <c r="I8" s="16">
        <v>0.24</v>
      </c>
      <c r="J8">
        <v>55</v>
      </c>
      <c r="L8" s="15">
        <v>2319</v>
      </c>
      <c r="M8">
        <v>4.5999999999999996</v>
      </c>
    </row>
    <row r="9" spans="1:15" x14ac:dyDescent="0.25">
      <c r="A9" t="s">
        <v>345</v>
      </c>
      <c r="B9" s="15">
        <f>AVERAGE(tblProducts[Current Price])</f>
        <v>1186.8928571428571</v>
      </c>
      <c r="C9" t="s">
        <v>353</v>
      </c>
      <c r="F9">
        <v>3</v>
      </c>
      <c r="G9">
        <v>5</v>
      </c>
      <c r="I9" s="16">
        <v>0.28999999999999998</v>
      </c>
      <c r="J9">
        <v>5</v>
      </c>
      <c r="L9" s="15">
        <v>2300</v>
      </c>
      <c r="M9">
        <v>3</v>
      </c>
    </row>
    <row r="10" spans="1:15" x14ac:dyDescent="0.25">
      <c r="A10" t="s">
        <v>346</v>
      </c>
      <c r="B10" s="15">
        <f>AVERAGE(tblProducts[Old Price])</f>
        <v>1811.1071428571429</v>
      </c>
      <c r="C10" t="s">
        <v>353</v>
      </c>
      <c r="F10">
        <v>4.5999999999999996</v>
      </c>
      <c r="G10">
        <v>24</v>
      </c>
      <c r="I10" s="16">
        <v>0.25</v>
      </c>
      <c r="J10">
        <v>24</v>
      </c>
      <c r="L10" s="15">
        <v>2199</v>
      </c>
      <c r="M10">
        <v>4.5999999999999996</v>
      </c>
    </row>
    <row r="11" spans="1:15" x14ac:dyDescent="0.25">
      <c r="A11" t="s">
        <v>347</v>
      </c>
      <c r="B11" s="16">
        <f>AVERAGE(tblProducts[Advertised Discount])</f>
        <v>0.36776785714285715</v>
      </c>
      <c r="C11" t="s">
        <v>353</v>
      </c>
      <c r="F11">
        <v>2.5</v>
      </c>
      <c r="G11">
        <v>6</v>
      </c>
      <c r="I11" s="16">
        <v>0.13</v>
      </c>
      <c r="J11">
        <v>6</v>
      </c>
      <c r="L11" s="15">
        <v>2170</v>
      </c>
      <c r="M11">
        <v>2.5</v>
      </c>
    </row>
    <row r="12" spans="1:15" x14ac:dyDescent="0.25">
      <c r="A12" t="s">
        <v>348</v>
      </c>
      <c r="B12" s="29">
        <f>AVERAGE(tblProducts[Rating])</f>
        <v>3.8894736842105262</v>
      </c>
      <c r="C12" t="s">
        <v>353</v>
      </c>
      <c r="F12">
        <v>2.1</v>
      </c>
      <c r="G12">
        <v>13</v>
      </c>
      <c r="I12" s="16">
        <v>0.55000000000000004</v>
      </c>
      <c r="J12">
        <v>13</v>
      </c>
      <c r="L12" s="15">
        <v>2115</v>
      </c>
      <c r="M12">
        <v>2.1</v>
      </c>
    </row>
    <row r="13" spans="1:15" x14ac:dyDescent="0.25">
      <c r="A13" t="s">
        <v>349</v>
      </c>
      <c r="B13">
        <f>SUM(tblProducts[Review])</f>
        <v>678</v>
      </c>
      <c r="C13" t="s">
        <v>353</v>
      </c>
      <c r="F13">
        <v>4.3</v>
      </c>
      <c r="G13">
        <v>7</v>
      </c>
      <c r="I13" s="16">
        <v>0.54</v>
      </c>
      <c r="J13">
        <v>7</v>
      </c>
      <c r="L13" s="15">
        <v>2048</v>
      </c>
      <c r="M13">
        <v>4.3</v>
      </c>
    </row>
    <row r="14" spans="1:15" x14ac:dyDescent="0.25">
      <c r="A14" t="s">
        <v>350</v>
      </c>
      <c r="B14" s="15">
        <f>MAX(tblProducts[Current Price])</f>
        <v>3750</v>
      </c>
      <c r="C14" t="str">
        <f>_xlfn.XLOOKUP(MAX(tblProducts[Current Price]),tblProducts[Current Price],tblProducts[Product],0)</f>
        <v>32PCS Portable Cordless Drill Set With Cyclic Battery Drive -26 Variable Speed</v>
      </c>
      <c r="F14">
        <v>5</v>
      </c>
      <c r="G14">
        <v>3</v>
      </c>
      <c r="I14" s="16">
        <v>0.49</v>
      </c>
      <c r="J14">
        <v>3</v>
      </c>
      <c r="L14" s="15">
        <v>2025</v>
      </c>
      <c r="M14">
        <v>5</v>
      </c>
    </row>
    <row r="15" spans="1:15" x14ac:dyDescent="0.25">
      <c r="A15" t="s">
        <v>351</v>
      </c>
      <c r="B15" s="15">
        <f>MIN(tblProducts[Current Price])</f>
        <v>38</v>
      </c>
      <c r="C15" t="str">
        <f>_xlfn.XLOOKUP(MIN(tblProducts[Current Price]),tblProducts[Current Price],tblProducts[Product],0)</f>
        <v>3PCS Single Head Knitting Crochet Sweater Needle Set</v>
      </c>
      <c r="F15">
        <v>4.5</v>
      </c>
      <c r="G15">
        <v>32</v>
      </c>
      <c r="I15" s="16">
        <v>0.27</v>
      </c>
      <c r="J15">
        <v>32</v>
      </c>
      <c r="L15" s="15">
        <v>1980</v>
      </c>
      <c r="M15">
        <v>4.5</v>
      </c>
    </row>
    <row r="16" spans="1:15" x14ac:dyDescent="0.25">
      <c r="F16">
        <v>4.7</v>
      </c>
      <c r="G16">
        <v>2</v>
      </c>
      <c r="I16" s="16">
        <v>0.27</v>
      </c>
      <c r="J16">
        <v>2</v>
      </c>
      <c r="L16" s="15">
        <v>1940</v>
      </c>
      <c r="M16">
        <v>4.7</v>
      </c>
    </row>
    <row r="17" spans="6:13" x14ac:dyDescent="0.25">
      <c r="F17">
        <v>4.3</v>
      </c>
      <c r="G17">
        <v>9</v>
      </c>
      <c r="I17" s="16">
        <v>0.48</v>
      </c>
      <c r="J17">
        <v>9</v>
      </c>
      <c r="L17" s="15">
        <v>1820</v>
      </c>
      <c r="M17">
        <v>4.3</v>
      </c>
    </row>
    <row r="18" spans="6:13" x14ac:dyDescent="0.25">
      <c r="F18">
        <v>4.0999999999999996</v>
      </c>
      <c r="G18">
        <v>2</v>
      </c>
      <c r="I18" s="16">
        <v>0.3</v>
      </c>
      <c r="J18">
        <v>2</v>
      </c>
      <c r="L18" s="15">
        <v>1758</v>
      </c>
      <c r="M18">
        <v>4.0999999999999996</v>
      </c>
    </row>
    <row r="19" spans="6:13" x14ac:dyDescent="0.25">
      <c r="F19">
        <v>4.8</v>
      </c>
      <c r="G19">
        <v>5</v>
      </c>
      <c r="I19" s="16">
        <v>0.26</v>
      </c>
      <c r="J19">
        <v>5</v>
      </c>
      <c r="L19" s="15">
        <v>1740</v>
      </c>
      <c r="M19">
        <v>4.8</v>
      </c>
    </row>
    <row r="20" spans="6:13" x14ac:dyDescent="0.25">
      <c r="F20">
        <v>4.2</v>
      </c>
      <c r="G20">
        <v>9</v>
      </c>
      <c r="I20" s="16">
        <v>0.33</v>
      </c>
      <c r="J20">
        <v>9</v>
      </c>
      <c r="L20" s="15">
        <v>1680</v>
      </c>
      <c r="M20">
        <v>4.2</v>
      </c>
    </row>
    <row r="21" spans="6:13" x14ac:dyDescent="0.25">
      <c r="F21">
        <v>4.4000000000000004</v>
      </c>
      <c r="G21">
        <v>14</v>
      </c>
      <c r="I21" s="16">
        <v>0.23</v>
      </c>
      <c r="J21">
        <v>14</v>
      </c>
      <c r="L21" s="15">
        <v>1650</v>
      </c>
      <c r="M21">
        <v>4.4000000000000004</v>
      </c>
    </row>
    <row r="22" spans="6:13" x14ac:dyDescent="0.25">
      <c r="F22">
        <v>5</v>
      </c>
      <c r="G22">
        <v>1</v>
      </c>
      <c r="I22" s="16">
        <v>0.4</v>
      </c>
      <c r="J22">
        <v>1</v>
      </c>
      <c r="L22" s="15">
        <v>1620</v>
      </c>
      <c r="M22">
        <v>5</v>
      </c>
    </row>
    <row r="23" spans="6:13" x14ac:dyDescent="0.25">
      <c r="F23">
        <v>3.8</v>
      </c>
      <c r="G23">
        <v>5</v>
      </c>
      <c r="I23" s="16">
        <v>0.45</v>
      </c>
      <c r="J23">
        <v>5</v>
      </c>
      <c r="L23" s="15">
        <v>1600</v>
      </c>
      <c r="M23">
        <v>3.8</v>
      </c>
    </row>
    <row r="24" spans="6:13" x14ac:dyDescent="0.25">
      <c r="F24">
        <v>4.7</v>
      </c>
      <c r="G24">
        <v>7</v>
      </c>
      <c r="I24" s="16">
        <v>0.37</v>
      </c>
      <c r="J24">
        <v>7</v>
      </c>
      <c r="L24" s="15">
        <v>1580</v>
      </c>
      <c r="M24">
        <v>4.7</v>
      </c>
    </row>
    <row r="25" spans="6:13" x14ac:dyDescent="0.25">
      <c r="F25">
        <v>2.1</v>
      </c>
      <c r="G25">
        <v>7</v>
      </c>
      <c r="I25" s="16">
        <v>0.47</v>
      </c>
      <c r="J25">
        <v>7</v>
      </c>
      <c r="L25" s="15">
        <v>1570</v>
      </c>
      <c r="M25">
        <v>2.1</v>
      </c>
    </row>
    <row r="26" spans="6:13" x14ac:dyDescent="0.25">
      <c r="F26">
        <v>3.8</v>
      </c>
      <c r="G26">
        <v>13</v>
      </c>
      <c r="I26" s="16">
        <v>0.32</v>
      </c>
      <c r="J26">
        <v>13</v>
      </c>
      <c r="L26" s="15">
        <v>1350</v>
      </c>
      <c r="M26">
        <v>3.8</v>
      </c>
    </row>
    <row r="27" spans="6:13" x14ac:dyDescent="0.25">
      <c r="F27">
        <v>4.8</v>
      </c>
      <c r="G27">
        <v>5</v>
      </c>
      <c r="I27" s="16">
        <v>0.55000000000000004</v>
      </c>
      <c r="J27">
        <v>5</v>
      </c>
      <c r="L27" s="15">
        <v>1274</v>
      </c>
      <c r="M27">
        <v>4.8</v>
      </c>
    </row>
    <row r="28" spans="6:13" x14ac:dyDescent="0.25">
      <c r="F28">
        <v>2.9</v>
      </c>
      <c r="G28">
        <v>16</v>
      </c>
      <c r="I28" s="16">
        <v>0.22</v>
      </c>
      <c r="J28">
        <v>16</v>
      </c>
      <c r="L28" s="15">
        <v>1220</v>
      </c>
      <c r="M28">
        <v>2.9</v>
      </c>
    </row>
    <row r="29" spans="6:13" x14ac:dyDescent="0.25">
      <c r="F29">
        <v>3</v>
      </c>
      <c r="G29">
        <v>1</v>
      </c>
      <c r="I29" s="16">
        <v>0.46</v>
      </c>
      <c r="J29">
        <v>1</v>
      </c>
      <c r="L29" s="15">
        <v>1189</v>
      </c>
      <c r="M29">
        <v>3</v>
      </c>
    </row>
    <row r="30" spans="6:13" x14ac:dyDescent="0.25">
      <c r="F30">
        <v>2.2999999999999998</v>
      </c>
      <c r="G30">
        <v>7</v>
      </c>
      <c r="I30" s="16">
        <v>0.5</v>
      </c>
      <c r="J30">
        <v>7</v>
      </c>
      <c r="L30" s="15">
        <v>1000</v>
      </c>
      <c r="M30">
        <v>2.2999999999999998</v>
      </c>
    </row>
    <row r="31" spans="6:13" x14ac:dyDescent="0.25">
      <c r="F31">
        <v>4.5999999999999996</v>
      </c>
      <c r="G31">
        <v>44</v>
      </c>
      <c r="I31" s="16">
        <v>0.49</v>
      </c>
      <c r="J31">
        <v>44</v>
      </c>
      <c r="L31" s="15">
        <v>998</v>
      </c>
      <c r="M31">
        <v>4.5999999999999996</v>
      </c>
    </row>
    <row r="32" spans="6:13" x14ac:dyDescent="0.25">
      <c r="F32">
        <v>4.7</v>
      </c>
      <c r="G32">
        <v>39</v>
      </c>
      <c r="I32" s="16">
        <v>0.34</v>
      </c>
      <c r="J32">
        <v>39</v>
      </c>
      <c r="L32" s="15">
        <v>990</v>
      </c>
      <c r="M32">
        <v>4.7</v>
      </c>
    </row>
    <row r="33" spans="6:13" x14ac:dyDescent="0.25">
      <c r="F33">
        <v>2.2000000000000002</v>
      </c>
      <c r="G33">
        <v>6</v>
      </c>
      <c r="I33" s="16">
        <v>0.45</v>
      </c>
      <c r="J33">
        <v>6</v>
      </c>
      <c r="L33" s="15">
        <v>990</v>
      </c>
      <c r="M33">
        <v>2.2000000000000002</v>
      </c>
    </row>
    <row r="34" spans="6:13" x14ac:dyDescent="0.25">
      <c r="F34">
        <v>4</v>
      </c>
      <c r="G34">
        <v>2</v>
      </c>
      <c r="I34" s="16">
        <v>0.37</v>
      </c>
      <c r="J34">
        <v>2</v>
      </c>
      <c r="L34" s="15">
        <v>988</v>
      </c>
      <c r="M34">
        <v>4</v>
      </c>
    </row>
    <row r="35" spans="6:13" x14ac:dyDescent="0.25">
      <c r="F35">
        <v>4.7</v>
      </c>
      <c r="G35">
        <v>12</v>
      </c>
      <c r="I35" s="16">
        <v>0.34</v>
      </c>
      <c r="J35">
        <v>12</v>
      </c>
      <c r="L35" s="15">
        <v>980</v>
      </c>
      <c r="M35">
        <v>4.7</v>
      </c>
    </row>
    <row r="36" spans="6:13" x14ac:dyDescent="0.25">
      <c r="F36">
        <v>5</v>
      </c>
      <c r="G36">
        <v>1</v>
      </c>
      <c r="I36" s="16">
        <v>0.49</v>
      </c>
      <c r="J36">
        <v>1</v>
      </c>
      <c r="L36" s="15">
        <v>979</v>
      </c>
      <c r="M36">
        <v>5</v>
      </c>
    </row>
    <row r="37" spans="6:13" x14ac:dyDescent="0.25">
      <c r="F37">
        <v>2.2000000000000002</v>
      </c>
      <c r="G37">
        <v>6</v>
      </c>
      <c r="I37" s="16">
        <v>0.47</v>
      </c>
      <c r="J37">
        <v>6</v>
      </c>
      <c r="L37" s="15">
        <v>968</v>
      </c>
      <c r="M37">
        <v>2.2000000000000002</v>
      </c>
    </row>
    <row r="38" spans="6:13" x14ac:dyDescent="0.25">
      <c r="F38">
        <v>4.5</v>
      </c>
      <c r="G38">
        <v>2</v>
      </c>
      <c r="I38" s="16">
        <v>0.38</v>
      </c>
      <c r="J38">
        <v>2</v>
      </c>
      <c r="L38" s="15">
        <v>950</v>
      </c>
      <c r="M38">
        <v>4.5</v>
      </c>
    </row>
    <row r="39" spans="6:13" x14ac:dyDescent="0.25">
      <c r="F39">
        <v>4</v>
      </c>
      <c r="G39">
        <v>6</v>
      </c>
      <c r="I39" s="16">
        <v>0.35</v>
      </c>
      <c r="J39">
        <v>6</v>
      </c>
      <c r="L39" s="15">
        <v>880</v>
      </c>
      <c r="M39">
        <v>4</v>
      </c>
    </row>
    <row r="40" spans="6:13" x14ac:dyDescent="0.25">
      <c r="F40">
        <v>4.0999999999999996</v>
      </c>
      <c r="G40">
        <v>12</v>
      </c>
      <c r="I40" s="16">
        <v>0.2</v>
      </c>
      <c r="J40">
        <v>12</v>
      </c>
      <c r="L40" s="15">
        <v>799</v>
      </c>
      <c r="M40">
        <v>4.0999999999999996</v>
      </c>
    </row>
    <row r="41" spans="6:13" x14ac:dyDescent="0.25">
      <c r="F41">
        <v>4.8</v>
      </c>
      <c r="G41">
        <v>12</v>
      </c>
      <c r="I41" s="16">
        <v>0.47</v>
      </c>
      <c r="J41">
        <v>12</v>
      </c>
      <c r="L41" s="15">
        <v>552</v>
      </c>
      <c r="M41">
        <v>4.8</v>
      </c>
    </row>
    <row r="42" spans="6:13" x14ac:dyDescent="0.25">
      <c r="F42">
        <v>4.0999999999999996</v>
      </c>
      <c r="G42">
        <v>14</v>
      </c>
      <c r="I42" s="16">
        <v>0.47</v>
      </c>
      <c r="J42">
        <v>14</v>
      </c>
      <c r="L42" s="15">
        <v>527</v>
      </c>
      <c r="M42">
        <v>4.0999999999999996</v>
      </c>
    </row>
    <row r="43" spans="6:13" x14ac:dyDescent="0.25">
      <c r="F43">
        <v>3</v>
      </c>
      <c r="G43">
        <v>5</v>
      </c>
      <c r="I43" s="16">
        <v>0.43</v>
      </c>
      <c r="J43">
        <v>5</v>
      </c>
      <c r="L43" s="15">
        <v>509</v>
      </c>
      <c r="M43">
        <v>3</v>
      </c>
    </row>
    <row r="44" spans="6:13" x14ac:dyDescent="0.25">
      <c r="F44">
        <v>4.5</v>
      </c>
      <c r="G44">
        <v>6</v>
      </c>
      <c r="I44" s="16">
        <v>0.42</v>
      </c>
      <c r="J44">
        <v>6</v>
      </c>
      <c r="L44" s="15">
        <v>501</v>
      </c>
      <c r="M44">
        <v>4.5</v>
      </c>
    </row>
    <row r="45" spans="6:13" x14ac:dyDescent="0.25">
      <c r="F45">
        <v>3</v>
      </c>
      <c r="G45">
        <v>1</v>
      </c>
      <c r="I45" s="16">
        <v>0.54</v>
      </c>
      <c r="J45">
        <v>1</v>
      </c>
      <c r="L45" s="15">
        <v>458</v>
      </c>
      <c r="M45">
        <v>3</v>
      </c>
    </row>
    <row r="46" spans="6:13" x14ac:dyDescent="0.25">
      <c r="F46">
        <v>2</v>
      </c>
      <c r="G46">
        <v>1</v>
      </c>
      <c r="I46" s="16">
        <v>0.5</v>
      </c>
      <c r="J46">
        <v>1</v>
      </c>
      <c r="L46" s="15">
        <v>450</v>
      </c>
      <c r="M46">
        <v>2</v>
      </c>
    </row>
    <row r="47" spans="6:13" x14ac:dyDescent="0.25">
      <c r="F47">
        <v>2.8</v>
      </c>
      <c r="G47">
        <v>69</v>
      </c>
      <c r="I47" s="16">
        <v>0.49</v>
      </c>
      <c r="J47">
        <v>69</v>
      </c>
      <c r="L47" s="15">
        <v>445</v>
      </c>
      <c r="M47">
        <v>2.8</v>
      </c>
    </row>
    <row r="48" spans="6:13" x14ac:dyDescent="0.25">
      <c r="F48">
        <v>4.5999999999999996</v>
      </c>
      <c r="G48">
        <v>49</v>
      </c>
      <c r="I48" s="16">
        <v>0.35</v>
      </c>
      <c r="J48">
        <v>49</v>
      </c>
      <c r="L48" s="15">
        <v>420</v>
      </c>
      <c r="M48">
        <v>4.5999999999999996</v>
      </c>
    </row>
    <row r="49" spans="6:13" x14ac:dyDescent="0.25">
      <c r="F49">
        <v>4.3</v>
      </c>
      <c r="G49">
        <v>36</v>
      </c>
      <c r="I49" s="16">
        <v>0.41</v>
      </c>
      <c r="J49">
        <v>36</v>
      </c>
      <c r="L49" s="15">
        <v>389</v>
      </c>
      <c r="M49">
        <v>4.3</v>
      </c>
    </row>
    <row r="50" spans="6:13" x14ac:dyDescent="0.25">
      <c r="F50">
        <v>2.6</v>
      </c>
      <c r="G50">
        <v>17</v>
      </c>
      <c r="I50" s="16">
        <v>0.45</v>
      </c>
      <c r="J50">
        <v>17</v>
      </c>
      <c r="L50" s="15">
        <v>382</v>
      </c>
      <c r="M50">
        <v>2.6</v>
      </c>
    </row>
    <row r="51" spans="6:13" x14ac:dyDescent="0.25">
      <c r="F51">
        <v>2.2999999999999998</v>
      </c>
      <c r="G51">
        <v>6</v>
      </c>
      <c r="I51" s="16">
        <v>0.43</v>
      </c>
      <c r="J51">
        <v>6</v>
      </c>
      <c r="L51" s="15">
        <v>345</v>
      </c>
      <c r="M51">
        <v>2.2999999999999998</v>
      </c>
    </row>
    <row r="52" spans="6:13" x14ac:dyDescent="0.25">
      <c r="F52">
        <v>5</v>
      </c>
      <c r="G52">
        <v>2</v>
      </c>
      <c r="I52" s="16">
        <v>0.51</v>
      </c>
      <c r="J52">
        <v>2</v>
      </c>
      <c r="L52" s="15">
        <v>332</v>
      </c>
      <c r="M52">
        <v>5</v>
      </c>
    </row>
    <row r="53" spans="6:13" x14ac:dyDescent="0.25">
      <c r="F53">
        <v>4</v>
      </c>
      <c r="G53">
        <v>1</v>
      </c>
      <c r="I53" s="16">
        <v>0.49</v>
      </c>
      <c r="J53">
        <v>1</v>
      </c>
      <c r="L53" s="15">
        <v>330</v>
      </c>
      <c r="M53">
        <v>4</v>
      </c>
    </row>
    <row r="54" spans="6:13" x14ac:dyDescent="0.25">
      <c r="F54">
        <v>2.7</v>
      </c>
      <c r="G54">
        <v>15</v>
      </c>
      <c r="I54" s="16">
        <v>0.52</v>
      </c>
      <c r="J54">
        <v>15</v>
      </c>
      <c r="L54" s="15">
        <v>325</v>
      </c>
      <c r="M54">
        <v>2.7</v>
      </c>
    </row>
    <row r="55" spans="6:13" x14ac:dyDescent="0.25">
      <c r="F55">
        <v>5</v>
      </c>
      <c r="G55">
        <v>2</v>
      </c>
      <c r="I55" s="16">
        <v>0.46</v>
      </c>
      <c r="J55">
        <v>2</v>
      </c>
      <c r="L55" s="15">
        <v>195</v>
      </c>
      <c r="M55">
        <v>5</v>
      </c>
    </row>
    <row r="56" spans="6:13" x14ac:dyDescent="0.25">
      <c r="F56">
        <v>4.3</v>
      </c>
      <c r="G56">
        <v>9</v>
      </c>
      <c r="I56" s="16">
        <v>0.52</v>
      </c>
      <c r="J56">
        <v>9</v>
      </c>
      <c r="L56" s="15">
        <v>185</v>
      </c>
      <c r="M56">
        <v>4.3</v>
      </c>
    </row>
    <row r="57" spans="6:13" x14ac:dyDescent="0.25">
      <c r="F57">
        <v>5</v>
      </c>
      <c r="G57">
        <v>2</v>
      </c>
      <c r="I57" s="16">
        <v>0.53</v>
      </c>
      <c r="J57">
        <v>2</v>
      </c>
      <c r="L57" s="15">
        <v>171</v>
      </c>
      <c r="M57">
        <v>5</v>
      </c>
    </row>
    <row r="58" spans="6:13" x14ac:dyDescent="0.25">
      <c r="F58">
        <v>3.3</v>
      </c>
      <c r="G58">
        <v>13</v>
      </c>
      <c r="I58" s="16">
        <v>0.53</v>
      </c>
      <c r="J58">
        <v>13</v>
      </c>
      <c r="L58" s="15">
        <v>38</v>
      </c>
      <c r="M58">
        <v>3.3</v>
      </c>
    </row>
  </sheetData>
  <pageMargins left="0.7" right="0.7" top="0.75" bottom="0.75" header="0.3" footer="0.3"/>
  <ignoredErrors>
    <ignoredError sqref="B9:B15 C15 C8:C13" calculatedColumn="1"/>
  </ignoredErrors>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4163-84F6-4974-B1C7-64A3CC557B0C}">
  <dimension ref="A1:D30"/>
  <sheetViews>
    <sheetView tabSelected="1" topLeftCell="A22" workbookViewId="0">
      <selection activeCell="C35" sqref="C35"/>
    </sheetView>
  </sheetViews>
  <sheetFormatPr defaultRowHeight="15" x14ac:dyDescent="0.25"/>
  <cols>
    <col min="1" max="1" width="64.7109375" style="40" customWidth="1"/>
    <col min="2" max="2" width="32" style="40" customWidth="1"/>
    <col min="3" max="3" width="95.140625" style="40" customWidth="1"/>
    <col min="4" max="4" width="67.28515625" style="40" customWidth="1"/>
    <col min="5" max="5" width="11.28515625" style="40" customWidth="1"/>
    <col min="6" max="16384" width="9.140625" style="40"/>
  </cols>
  <sheetData>
    <row r="1" spans="1:4" ht="18.75" x14ac:dyDescent="0.3">
      <c r="A1" s="39" t="s">
        <v>372</v>
      </c>
    </row>
    <row r="2" spans="1:4" x14ac:dyDescent="0.25">
      <c r="A2" s="41" t="s">
        <v>373</v>
      </c>
    </row>
    <row r="3" spans="1:4" x14ac:dyDescent="0.25">
      <c r="A3" s="41" t="s">
        <v>374</v>
      </c>
    </row>
    <row r="4" spans="1:4" x14ac:dyDescent="0.25">
      <c r="A4" s="41" t="s">
        <v>378</v>
      </c>
    </row>
    <row r="5" spans="1:4" x14ac:dyDescent="0.25">
      <c r="A5" s="41" t="s">
        <v>375</v>
      </c>
    </row>
    <row r="6" spans="1:4" x14ac:dyDescent="0.25">
      <c r="A6" s="41" t="s">
        <v>379</v>
      </c>
    </row>
    <row r="7" spans="1:4" x14ac:dyDescent="0.25">
      <c r="A7" s="41" t="s">
        <v>376</v>
      </c>
    </row>
    <row r="8" spans="1:4" x14ac:dyDescent="0.25">
      <c r="A8" s="41" t="s">
        <v>377</v>
      </c>
    </row>
    <row r="10" spans="1:4" ht="18.75" x14ac:dyDescent="0.3">
      <c r="A10" s="39" t="s">
        <v>380</v>
      </c>
    </row>
    <row r="11" spans="1:4" x14ac:dyDescent="0.25">
      <c r="A11" s="40" t="s">
        <v>381</v>
      </c>
      <c r="B11" s="40" t="s">
        <v>382</v>
      </c>
      <c r="C11" s="40" t="s">
        <v>383</v>
      </c>
      <c r="D11" s="40" t="s">
        <v>384</v>
      </c>
    </row>
    <row r="12" spans="1:4" x14ac:dyDescent="0.25">
      <c r="A12" s="40" t="s">
        <v>385</v>
      </c>
      <c r="B12" s="40">
        <v>3</v>
      </c>
      <c r="C12" s="40" t="s">
        <v>386</v>
      </c>
      <c r="D12" s="40" t="s">
        <v>387</v>
      </c>
    </row>
    <row r="13" spans="1:4" x14ac:dyDescent="0.25">
      <c r="A13" s="40" t="s">
        <v>388</v>
      </c>
      <c r="B13" s="40">
        <v>6</v>
      </c>
      <c r="C13" s="40" t="s">
        <v>389</v>
      </c>
      <c r="D13" s="40" t="s">
        <v>390</v>
      </c>
    </row>
    <row r="14" spans="1:4" x14ac:dyDescent="0.25">
      <c r="A14" s="40" t="s">
        <v>391</v>
      </c>
      <c r="B14" s="40">
        <v>58</v>
      </c>
      <c r="C14" s="40" t="s">
        <v>392</v>
      </c>
      <c r="D14" s="40" t="s">
        <v>393</v>
      </c>
    </row>
    <row r="15" spans="1:4" x14ac:dyDescent="0.25">
      <c r="A15" s="40" t="s">
        <v>394</v>
      </c>
      <c r="B15" s="40">
        <v>58</v>
      </c>
      <c r="C15" s="40" t="s">
        <v>392</v>
      </c>
      <c r="D15" s="40" t="s">
        <v>395</v>
      </c>
    </row>
    <row r="16" spans="1:4" x14ac:dyDescent="0.25">
      <c r="A16" s="40" t="s">
        <v>396</v>
      </c>
      <c r="B16" s="40">
        <v>57</v>
      </c>
      <c r="C16" s="40" t="s">
        <v>397</v>
      </c>
      <c r="D16" s="40" t="s">
        <v>398</v>
      </c>
    </row>
    <row r="17" spans="1:4" x14ac:dyDescent="0.25">
      <c r="A17" s="40" t="s">
        <v>399</v>
      </c>
      <c r="B17" s="40">
        <v>1</v>
      </c>
      <c r="C17" s="40" t="s">
        <v>400</v>
      </c>
      <c r="D17" s="40" t="s">
        <v>401</v>
      </c>
    </row>
    <row r="18" spans="1:4" x14ac:dyDescent="0.25">
      <c r="A18" s="40" t="s">
        <v>402</v>
      </c>
      <c r="B18" s="40" t="s">
        <v>403</v>
      </c>
      <c r="C18" s="40" t="s">
        <v>404</v>
      </c>
      <c r="D18" s="40" t="s">
        <v>405</v>
      </c>
    </row>
    <row r="19" spans="1:4" x14ac:dyDescent="0.25">
      <c r="A19" s="40" t="s">
        <v>406</v>
      </c>
      <c r="B19" s="40" t="s">
        <v>407</v>
      </c>
      <c r="C19" s="40" t="s">
        <v>408</v>
      </c>
      <c r="D19" s="40" t="s">
        <v>411</v>
      </c>
    </row>
    <row r="20" spans="1:4" x14ac:dyDescent="0.25">
      <c r="A20" s="40" t="s">
        <v>409</v>
      </c>
      <c r="B20" s="40" t="s">
        <v>407</v>
      </c>
      <c r="C20" s="40" t="s">
        <v>410</v>
      </c>
      <c r="D20" s="40" t="s">
        <v>412</v>
      </c>
    </row>
    <row r="21" spans="1:4" x14ac:dyDescent="0.25">
      <c r="A21" s="40" t="s">
        <v>413</v>
      </c>
      <c r="B21" s="40" t="s">
        <v>414</v>
      </c>
      <c r="C21" s="40" t="s">
        <v>415</v>
      </c>
      <c r="D21" s="40" t="s">
        <v>416</v>
      </c>
    </row>
    <row r="22" spans="1:4" x14ac:dyDescent="0.25">
      <c r="A22" s="40" t="s">
        <v>417</v>
      </c>
      <c r="B22" s="40" t="s">
        <v>418</v>
      </c>
      <c r="C22" s="40" t="s">
        <v>419</v>
      </c>
      <c r="D22" s="40" t="s">
        <v>420</v>
      </c>
    </row>
    <row r="23" spans="1:4" x14ac:dyDescent="0.25">
      <c r="A23" s="40" t="s">
        <v>421</v>
      </c>
      <c r="B23" s="40" t="s">
        <v>422</v>
      </c>
      <c r="C23" s="40" t="s">
        <v>423</v>
      </c>
      <c r="D23" s="40" t="s">
        <v>424</v>
      </c>
    </row>
    <row r="24" spans="1:4" ht="45" x14ac:dyDescent="0.25">
      <c r="A24" s="40" t="s">
        <v>425</v>
      </c>
      <c r="B24" s="40">
        <v>1</v>
      </c>
      <c r="C24" s="42" t="s">
        <v>426</v>
      </c>
      <c r="D24" s="42" t="s">
        <v>427</v>
      </c>
    </row>
    <row r="25" spans="1:4" x14ac:dyDescent="0.25">
      <c r="A25" s="40" t="s">
        <v>428</v>
      </c>
      <c r="B25" s="40" t="s">
        <v>429</v>
      </c>
      <c r="C25" s="40" t="s">
        <v>430</v>
      </c>
      <c r="D25" s="40" t="s">
        <v>431</v>
      </c>
    </row>
    <row r="26" spans="1:4" x14ac:dyDescent="0.25">
      <c r="A26" s="40" t="s">
        <v>432</v>
      </c>
      <c r="B26" s="40" t="s">
        <v>433</v>
      </c>
      <c r="C26" s="40" t="s">
        <v>434</v>
      </c>
      <c r="D26" s="40" t="s">
        <v>435</v>
      </c>
    </row>
    <row r="27" spans="1:4" ht="45" x14ac:dyDescent="0.25">
      <c r="A27" s="42" t="s">
        <v>436</v>
      </c>
      <c r="B27" s="42" t="s">
        <v>437</v>
      </c>
      <c r="C27" s="40" t="s">
        <v>438</v>
      </c>
      <c r="D27" s="40" t="s">
        <v>439</v>
      </c>
    </row>
    <row r="28" spans="1:4" x14ac:dyDescent="0.25">
      <c r="A28" s="40" t="s">
        <v>440</v>
      </c>
      <c r="B28" s="40">
        <v>58</v>
      </c>
      <c r="C28" s="40" t="s">
        <v>441</v>
      </c>
      <c r="D28" s="40" t="s">
        <v>424</v>
      </c>
    </row>
    <row r="29" spans="1:4" x14ac:dyDescent="0.25">
      <c r="A29" s="40" t="s">
        <v>442</v>
      </c>
      <c r="B29" s="40" t="s">
        <v>443</v>
      </c>
      <c r="C29" s="40" t="s">
        <v>444</v>
      </c>
      <c r="D29" s="40" t="s">
        <v>445</v>
      </c>
    </row>
    <row r="30" spans="1:4" x14ac:dyDescent="0.25">
      <c r="A30" s="40" t="s">
        <v>446</v>
      </c>
      <c r="B30" s="40" t="s">
        <v>447</v>
      </c>
      <c r="C30" s="40" t="s">
        <v>448</v>
      </c>
      <c r="D30" s="40" t="s">
        <v>424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AF0A-8AA1-4A3E-87EB-6100978ADA8A}">
  <dimension ref="A3:B8"/>
  <sheetViews>
    <sheetView workbookViewId="0">
      <selection activeCell="L15" sqref="L15"/>
    </sheetView>
  </sheetViews>
  <sheetFormatPr defaultRowHeight="15" x14ac:dyDescent="0.25"/>
  <cols>
    <col min="1" max="1" width="13.42578125" bestFit="1" customWidth="1"/>
    <col min="2" max="2" width="16.42578125" bestFit="1" customWidth="1"/>
  </cols>
  <sheetData>
    <row r="3" spans="1:2" x14ac:dyDescent="0.25">
      <c r="A3" s="34" t="s">
        <v>354</v>
      </c>
      <c r="B3" t="s">
        <v>360</v>
      </c>
    </row>
    <row r="4" spans="1:2" x14ac:dyDescent="0.25">
      <c r="A4" s="35" t="s">
        <v>355</v>
      </c>
      <c r="B4" s="36">
        <v>26</v>
      </c>
    </row>
    <row r="5" spans="1:2" x14ac:dyDescent="0.25">
      <c r="A5" s="35" t="s">
        <v>356</v>
      </c>
      <c r="B5" s="36">
        <v>19</v>
      </c>
    </row>
    <row r="6" spans="1:2" x14ac:dyDescent="0.25">
      <c r="A6" s="35" t="s">
        <v>357</v>
      </c>
      <c r="B6" s="36">
        <v>55</v>
      </c>
    </row>
    <row r="7" spans="1:2" x14ac:dyDescent="0.25">
      <c r="A7" s="35" t="s">
        <v>358</v>
      </c>
      <c r="B7" s="36">
        <v>12</v>
      </c>
    </row>
    <row r="8" spans="1:2" x14ac:dyDescent="0.25">
      <c r="A8" s="35" t="s">
        <v>359</v>
      </c>
      <c r="B8" s="36">
        <v>112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1C96-D5FF-4B36-B6CE-CB039A982B3A}">
  <dimension ref="A3:B7"/>
  <sheetViews>
    <sheetView workbookViewId="0">
      <selection activeCell="O7" sqref="O7"/>
    </sheetView>
  </sheetViews>
  <sheetFormatPr defaultRowHeight="15" x14ac:dyDescent="0.25"/>
  <cols>
    <col min="1" max="1" width="16.5703125" bestFit="1" customWidth="1"/>
    <col min="2" max="2" width="16.42578125" bestFit="1" customWidth="1"/>
  </cols>
  <sheetData>
    <row r="3" spans="1:2" x14ac:dyDescent="0.25">
      <c r="A3" s="34" t="s">
        <v>354</v>
      </c>
      <c r="B3" t="s">
        <v>360</v>
      </c>
    </row>
    <row r="4" spans="1:2" x14ac:dyDescent="0.25">
      <c r="A4" s="35" t="s">
        <v>361</v>
      </c>
      <c r="B4" s="36">
        <v>62</v>
      </c>
    </row>
    <row r="5" spans="1:2" x14ac:dyDescent="0.25">
      <c r="A5" s="35" t="s">
        <v>362</v>
      </c>
      <c r="B5" s="36">
        <v>18</v>
      </c>
    </row>
    <row r="6" spans="1:2" x14ac:dyDescent="0.25">
      <c r="A6" s="35" t="s">
        <v>363</v>
      </c>
      <c r="B6" s="36">
        <v>32</v>
      </c>
    </row>
    <row r="7" spans="1:2" x14ac:dyDescent="0.25">
      <c r="A7" s="35" t="s">
        <v>359</v>
      </c>
      <c r="B7" s="36">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5BF4-9EFA-4D18-9C89-87D84748FE17}">
  <dimension ref="A3:B7"/>
  <sheetViews>
    <sheetView workbookViewId="0">
      <selection activeCell="B5" sqref="B5"/>
    </sheetView>
  </sheetViews>
  <sheetFormatPr defaultRowHeight="15" x14ac:dyDescent="0.25"/>
  <cols>
    <col min="1" max="1" width="13.42578125" bestFit="1" customWidth="1"/>
    <col min="2" max="2" width="16.7109375" style="29" bestFit="1" customWidth="1"/>
  </cols>
  <sheetData>
    <row r="3" spans="1:2" x14ac:dyDescent="0.25">
      <c r="A3" s="34" t="s">
        <v>354</v>
      </c>
      <c r="B3" s="29" t="s">
        <v>367</v>
      </c>
    </row>
    <row r="4" spans="1:2" x14ac:dyDescent="0.25">
      <c r="A4" s="35" t="s">
        <v>364</v>
      </c>
      <c r="B4" s="29">
        <v>4.0842105263157888</v>
      </c>
    </row>
    <row r="5" spans="1:2" x14ac:dyDescent="0.25">
      <c r="A5" s="35" t="s">
        <v>365</v>
      </c>
      <c r="B5" s="29">
        <v>3.6357142857142857</v>
      </c>
    </row>
    <row r="6" spans="1:2" x14ac:dyDescent="0.25">
      <c r="A6" s="35" t="s">
        <v>366</v>
      </c>
      <c r="B6" s="29">
        <v>3.8833333333333329</v>
      </c>
    </row>
    <row r="7" spans="1:2" x14ac:dyDescent="0.25">
      <c r="A7" s="35" t="s">
        <v>359</v>
      </c>
      <c r="B7" s="29">
        <v>3.8894736842105258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71C6-E97F-44BD-A012-16F1D64174EC}">
  <dimension ref="A3:B7"/>
  <sheetViews>
    <sheetView workbookViewId="0">
      <selection activeCell="L9" sqref="L9"/>
    </sheetView>
  </sheetViews>
  <sheetFormatPr defaultRowHeight="15" x14ac:dyDescent="0.25"/>
  <cols>
    <col min="1" max="1" width="16.5703125" bestFit="1" customWidth="1"/>
    <col min="2" max="2" width="14.42578125" bestFit="1" customWidth="1"/>
  </cols>
  <sheetData>
    <row r="3" spans="1:2" x14ac:dyDescent="0.25">
      <c r="A3" s="34" t="s">
        <v>354</v>
      </c>
      <c r="B3" t="s">
        <v>368</v>
      </c>
    </row>
    <row r="4" spans="1:2" x14ac:dyDescent="0.25">
      <c r="A4" s="35" t="s">
        <v>361</v>
      </c>
      <c r="B4" s="36">
        <v>325</v>
      </c>
    </row>
    <row r="5" spans="1:2" x14ac:dyDescent="0.25">
      <c r="A5" s="35" t="s">
        <v>362</v>
      </c>
      <c r="B5" s="36">
        <v>38</v>
      </c>
    </row>
    <row r="6" spans="1:2" x14ac:dyDescent="0.25">
      <c r="A6" s="35" t="s">
        <v>363</v>
      </c>
      <c r="B6" s="36">
        <v>315</v>
      </c>
    </row>
    <row r="7" spans="1:2" x14ac:dyDescent="0.25">
      <c r="A7" s="35" t="s">
        <v>359</v>
      </c>
      <c r="B7" s="36">
        <v>678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A962-8EDE-48E2-9B4E-2E6416B4548C}">
  <dimension ref="A1:B14"/>
  <sheetViews>
    <sheetView workbookViewId="0">
      <selection activeCell="B9" sqref="B9"/>
    </sheetView>
  </sheetViews>
  <sheetFormatPr defaultRowHeight="15" x14ac:dyDescent="0.25"/>
  <cols>
    <col min="1" max="1" width="68.5703125" bestFit="1" customWidth="1"/>
    <col min="2" max="2" width="17.28515625" bestFit="1" customWidth="1"/>
    <col min="3" max="3" width="14.42578125" bestFit="1" customWidth="1"/>
    <col min="4" max="4" width="2" bestFit="1" customWidth="1"/>
    <col min="5" max="5" width="4" bestFit="1" customWidth="1"/>
    <col min="6" max="8" width="2" bestFit="1" customWidth="1"/>
    <col min="9" max="9" width="4" bestFit="1" customWidth="1"/>
    <col min="10" max="22" width="3" bestFit="1" customWidth="1"/>
    <col min="23" max="23" width="11.28515625" bestFit="1" customWidth="1"/>
  </cols>
  <sheetData>
    <row r="1" spans="1:2" x14ac:dyDescent="0.25">
      <c r="A1" s="34" t="s">
        <v>328</v>
      </c>
      <c r="B1" t="s">
        <v>369</v>
      </c>
    </row>
    <row r="3" spans="1:2" x14ac:dyDescent="0.25">
      <c r="A3" s="34" t="s">
        <v>354</v>
      </c>
      <c r="B3" t="s">
        <v>367</v>
      </c>
    </row>
    <row r="4" spans="1:2" x14ac:dyDescent="0.25">
      <c r="A4" s="35" t="s">
        <v>121</v>
      </c>
      <c r="B4" s="36">
        <v>5</v>
      </c>
    </row>
    <row r="5" spans="1:2" x14ac:dyDescent="0.25">
      <c r="A5" s="35" t="s">
        <v>63</v>
      </c>
      <c r="B5" s="36">
        <v>5</v>
      </c>
    </row>
    <row r="6" spans="1:2" x14ac:dyDescent="0.25">
      <c r="A6" s="35" t="s">
        <v>296</v>
      </c>
      <c r="B6" s="36">
        <v>5</v>
      </c>
    </row>
    <row r="7" spans="1:2" x14ac:dyDescent="0.25">
      <c r="A7" s="35" t="s">
        <v>56</v>
      </c>
      <c r="B7" s="36">
        <v>5</v>
      </c>
    </row>
    <row r="8" spans="1:2" x14ac:dyDescent="0.25">
      <c r="A8" s="35" t="s">
        <v>60</v>
      </c>
      <c r="B8" s="36">
        <v>5</v>
      </c>
    </row>
    <row r="9" spans="1:2" x14ac:dyDescent="0.25">
      <c r="A9" s="35" t="s">
        <v>246</v>
      </c>
      <c r="B9" s="36">
        <v>5</v>
      </c>
    </row>
    <row r="10" spans="1:2" x14ac:dyDescent="0.25">
      <c r="A10" s="35" t="s">
        <v>118</v>
      </c>
      <c r="B10" s="36">
        <v>5</v>
      </c>
    </row>
    <row r="11" spans="1:2" x14ac:dyDescent="0.25">
      <c r="A11" s="35" t="s">
        <v>35</v>
      </c>
      <c r="B11" s="36">
        <v>4.8</v>
      </c>
    </row>
    <row r="12" spans="1:2" x14ac:dyDescent="0.25">
      <c r="A12" s="35" t="s">
        <v>22</v>
      </c>
      <c r="B12" s="36">
        <v>4.8</v>
      </c>
    </row>
    <row r="13" spans="1:2" x14ac:dyDescent="0.25">
      <c r="A13" s="35" t="s">
        <v>47</v>
      </c>
      <c r="B13" s="36">
        <v>4.8</v>
      </c>
    </row>
    <row r="14" spans="1:2" x14ac:dyDescent="0.25">
      <c r="A14" s="35" t="s">
        <v>359</v>
      </c>
      <c r="B14" s="36">
        <v>4.9399999999999995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3390D-F890-45FF-A4C4-0EB08F10C0F3}">
  <dimension ref="A1:B14"/>
  <sheetViews>
    <sheetView workbookViewId="0">
      <selection activeCell="B4" sqref="B4"/>
    </sheetView>
  </sheetViews>
  <sheetFormatPr defaultRowHeight="15" x14ac:dyDescent="0.25"/>
  <cols>
    <col min="1" max="1" width="71.28515625" bestFit="1" customWidth="1"/>
    <col min="2" max="2" width="17.28515625" bestFit="1" customWidth="1"/>
  </cols>
  <sheetData>
    <row r="1" spans="1:2" x14ac:dyDescent="0.25">
      <c r="A1" s="34" t="s">
        <v>328</v>
      </c>
      <c r="B1" t="s">
        <v>369</v>
      </c>
    </row>
    <row r="3" spans="1:2" x14ac:dyDescent="0.25">
      <c r="A3" s="34" t="s">
        <v>354</v>
      </c>
      <c r="B3" t="s">
        <v>367</v>
      </c>
    </row>
    <row r="4" spans="1:2" x14ac:dyDescent="0.25">
      <c r="A4" s="35" t="s">
        <v>199</v>
      </c>
      <c r="B4" s="36">
        <v>2.7</v>
      </c>
    </row>
    <row r="5" spans="1:2" x14ac:dyDescent="0.25">
      <c r="A5" s="35" t="s">
        <v>216</v>
      </c>
      <c r="B5" s="36">
        <v>2.6</v>
      </c>
    </row>
    <row r="6" spans="1:2" x14ac:dyDescent="0.25">
      <c r="A6" s="35" t="s">
        <v>183</v>
      </c>
      <c r="B6" s="36">
        <v>2.5</v>
      </c>
    </row>
    <row r="7" spans="1:2" x14ac:dyDescent="0.25">
      <c r="A7" s="35" t="s">
        <v>210</v>
      </c>
      <c r="B7" s="36">
        <v>2.2999999999999998</v>
      </c>
    </row>
    <row r="8" spans="1:2" x14ac:dyDescent="0.25">
      <c r="A8" s="35" t="s">
        <v>222</v>
      </c>
      <c r="B8" s="36">
        <v>2.2999999999999998</v>
      </c>
    </row>
    <row r="9" spans="1:2" x14ac:dyDescent="0.25">
      <c r="A9" s="35" t="s">
        <v>228</v>
      </c>
      <c r="B9" s="36">
        <v>2.2000000000000002</v>
      </c>
    </row>
    <row r="10" spans="1:2" x14ac:dyDescent="0.25">
      <c r="A10" s="35" t="s">
        <v>207</v>
      </c>
      <c r="B10" s="36">
        <v>2.2000000000000002</v>
      </c>
    </row>
    <row r="11" spans="1:2" x14ac:dyDescent="0.25">
      <c r="A11" s="35" t="s">
        <v>191</v>
      </c>
      <c r="B11" s="36">
        <v>2.1</v>
      </c>
    </row>
    <row r="12" spans="1:2" x14ac:dyDescent="0.25">
      <c r="A12" s="35" t="s">
        <v>230</v>
      </c>
      <c r="B12" s="36">
        <v>2.1</v>
      </c>
    </row>
    <row r="13" spans="1:2" x14ac:dyDescent="0.25">
      <c r="A13" s="35" t="s">
        <v>319</v>
      </c>
      <c r="B13" s="36">
        <v>2</v>
      </c>
    </row>
    <row r="14" spans="1:2" x14ac:dyDescent="0.25">
      <c r="A14" s="35" t="s">
        <v>359</v>
      </c>
      <c r="B14" s="36">
        <v>2.3000000000000003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FB22-1233-4FFA-8CB1-004466954E37}">
  <dimension ref="A1:B14"/>
  <sheetViews>
    <sheetView workbookViewId="0">
      <selection activeCell="G18" sqref="G18"/>
    </sheetView>
  </sheetViews>
  <sheetFormatPr defaultRowHeight="15" x14ac:dyDescent="0.25"/>
  <cols>
    <col min="1" max="1" width="77" bestFit="1" customWidth="1"/>
    <col min="2" max="2" width="17.28515625" bestFit="1" customWidth="1"/>
  </cols>
  <sheetData>
    <row r="1" spans="1:2" x14ac:dyDescent="0.25">
      <c r="A1" s="34" t="s">
        <v>4</v>
      </c>
      <c r="B1" t="s">
        <v>369</v>
      </c>
    </row>
    <row r="3" spans="1:2" x14ac:dyDescent="0.25">
      <c r="A3" s="34" t="s">
        <v>354</v>
      </c>
      <c r="B3" t="s">
        <v>368</v>
      </c>
    </row>
    <row r="4" spans="1:2" x14ac:dyDescent="0.25">
      <c r="A4" s="35" t="s">
        <v>195</v>
      </c>
      <c r="B4" s="36">
        <v>69</v>
      </c>
    </row>
    <row r="5" spans="1:2" x14ac:dyDescent="0.25">
      <c r="A5" s="35" t="s">
        <v>30</v>
      </c>
      <c r="B5" s="36">
        <v>55</v>
      </c>
    </row>
    <row r="6" spans="1:2" x14ac:dyDescent="0.25">
      <c r="A6" s="35" t="s">
        <v>90</v>
      </c>
      <c r="B6" s="36">
        <v>49</v>
      </c>
    </row>
    <row r="7" spans="1:2" x14ac:dyDescent="0.25">
      <c r="A7" s="35" t="s">
        <v>68</v>
      </c>
      <c r="B7" s="36">
        <v>44</v>
      </c>
    </row>
    <row r="8" spans="1:2" x14ac:dyDescent="0.25">
      <c r="A8" s="35" t="s">
        <v>44</v>
      </c>
      <c r="B8" s="36">
        <v>39</v>
      </c>
    </row>
    <row r="9" spans="1:2" x14ac:dyDescent="0.25">
      <c r="A9" s="35" t="s">
        <v>123</v>
      </c>
      <c r="B9" s="36">
        <v>36</v>
      </c>
    </row>
    <row r="10" spans="1:2" x14ac:dyDescent="0.25">
      <c r="A10" s="35" t="s">
        <v>115</v>
      </c>
      <c r="B10" s="36">
        <v>32</v>
      </c>
    </row>
    <row r="11" spans="1:2" x14ac:dyDescent="0.25">
      <c r="A11" s="35" t="s">
        <v>14</v>
      </c>
      <c r="B11" s="36">
        <v>24</v>
      </c>
    </row>
    <row r="12" spans="1:2" x14ac:dyDescent="0.25">
      <c r="A12" s="35" t="s">
        <v>216</v>
      </c>
      <c r="B12" s="36">
        <v>17</v>
      </c>
    </row>
    <row r="13" spans="1:2" x14ac:dyDescent="0.25">
      <c r="A13" s="35" t="s">
        <v>203</v>
      </c>
      <c r="B13" s="36">
        <v>16</v>
      </c>
    </row>
    <row r="14" spans="1:2" x14ac:dyDescent="0.25">
      <c r="A14" s="35" t="s">
        <v>359</v>
      </c>
      <c r="B14" s="36">
        <v>381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76F-4F8F-4199-873F-92EFFFA52B60}">
  <dimension ref="A3:B14"/>
  <sheetViews>
    <sheetView workbookViewId="0">
      <selection activeCell="B5" sqref="B5"/>
    </sheetView>
  </sheetViews>
  <sheetFormatPr defaultRowHeight="15" x14ac:dyDescent="0.25"/>
  <cols>
    <col min="1" max="1" width="72.28515625" bestFit="1" customWidth="1"/>
    <col min="2" max="2" width="29.85546875" bestFit="1" customWidth="1"/>
  </cols>
  <sheetData>
    <row r="3" spans="1:2" x14ac:dyDescent="0.25">
      <c r="A3" s="34" t="s">
        <v>354</v>
      </c>
      <c r="B3" t="s">
        <v>370</v>
      </c>
    </row>
    <row r="4" spans="1:2" x14ac:dyDescent="0.25">
      <c r="A4" s="35" t="s">
        <v>317</v>
      </c>
      <c r="B4" s="37">
        <v>0.64</v>
      </c>
    </row>
    <row r="5" spans="1:2" x14ac:dyDescent="0.25">
      <c r="A5" s="35" t="s">
        <v>35</v>
      </c>
      <c r="B5" s="37">
        <v>0.55000000000000004</v>
      </c>
    </row>
    <row r="6" spans="1:2" x14ac:dyDescent="0.25">
      <c r="A6" s="35" t="s">
        <v>191</v>
      </c>
      <c r="B6" s="37">
        <v>0.55000000000000004</v>
      </c>
    </row>
    <row r="7" spans="1:2" x14ac:dyDescent="0.25">
      <c r="A7" s="35" t="s">
        <v>155</v>
      </c>
      <c r="B7" s="37">
        <v>0.55000000000000004</v>
      </c>
    </row>
    <row r="8" spans="1:2" x14ac:dyDescent="0.25">
      <c r="A8" s="35" t="s">
        <v>86</v>
      </c>
      <c r="B8" s="37">
        <v>0.54</v>
      </c>
    </row>
    <row r="9" spans="1:2" x14ac:dyDescent="0.25">
      <c r="A9" s="35" t="s">
        <v>187</v>
      </c>
      <c r="B9" s="37">
        <v>0.54</v>
      </c>
    </row>
    <row r="10" spans="1:2" x14ac:dyDescent="0.25">
      <c r="A10" s="35" t="s">
        <v>121</v>
      </c>
      <c r="B10" s="37">
        <v>0.53</v>
      </c>
    </row>
    <row r="11" spans="1:2" x14ac:dyDescent="0.25">
      <c r="A11" s="35" t="s">
        <v>71</v>
      </c>
      <c r="B11" s="37">
        <v>0.53</v>
      </c>
    </row>
    <row r="12" spans="1:2" x14ac:dyDescent="0.25">
      <c r="A12" s="35" t="s">
        <v>103</v>
      </c>
      <c r="B12" s="37">
        <v>0.52</v>
      </c>
    </row>
    <row r="13" spans="1:2" x14ac:dyDescent="0.25">
      <c r="A13" s="35" t="s">
        <v>199</v>
      </c>
      <c r="B13" s="37">
        <v>0.52</v>
      </c>
    </row>
    <row r="14" spans="1:2" x14ac:dyDescent="0.25">
      <c r="A14" s="35" t="s">
        <v>359</v>
      </c>
      <c r="B14" s="37">
        <v>0.54727272727272724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6FEA5-09CE-4B21-8849-E55EAF033B73}">
  <dimension ref="A1:B14"/>
  <sheetViews>
    <sheetView workbookViewId="0">
      <selection activeCell="A4" sqref="A4"/>
      <pivotSelection pane="bottomRight" showHeader="1" extendable="1" axis="axisRow" max="11" activeRow="3" previousRow="3" click="1" r:id="rId1">
        <pivotArea dataOnly="0" fieldPosition="0">
          <references count="1">
            <reference field="0" count="1">
              <x v="5"/>
            </reference>
          </references>
        </pivotArea>
      </pivotSelection>
    </sheetView>
  </sheetViews>
  <sheetFormatPr defaultRowHeight="15" x14ac:dyDescent="0.25"/>
  <cols>
    <col min="1" max="1" width="71.28515625" bestFit="1" customWidth="1"/>
    <col min="2" max="2" width="6.28515625" bestFit="1" customWidth="1"/>
    <col min="3" max="3" width="3.5703125" bestFit="1" customWidth="1"/>
    <col min="4" max="4" width="4.28515625" bestFit="1" customWidth="1"/>
    <col min="5" max="5" width="11.28515625" bestFit="1" customWidth="1"/>
  </cols>
  <sheetData>
    <row r="1" spans="1:2" x14ac:dyDescent="0.25">
      <c r="A1" s="34" t="s">
        <v>337</v>
      </c>
      <c r="B1" t="s">
        <v>371</v>
      </c>
    </row>
    <row r="3" spans="1:2" x14ac:dyDescent="0.25">
      <c r="A3" s="34" t="s">
        <v>354</v>
      </c>
    </row>
    <row r="4" spans="1:2" x14ac:dyDescent="0.25">
      <c r="A4" s="35" t="s">
        <v>195</v>
      </c>
    </row>
    <row r="5" spans="1:2" x14ac:dyDescent="0.25">
      <c r="A5" s="35" t="s">
        <v>210</v>
      </c>
    </row>
    <row r="6" spans="1:2" x14ac:dyDescent="0.25">
      <c r="A6" s="35" t="s">
        <v>191</v>
      </c>
    </row>
    <row r="7" spans="1:2" x14ac:dyDescent="0.25">
      <c r="A7" s="35" t="s">
        <v>228</v>
      </c>
    </row>
    <row r="8" spans="1:2" x14ac:dyDescent="0.25">
      <c r="A8" s="35" t="s">
        <v>216</v>
      </c>
    </row>
    <row r="9" spans="1:2" x14ac:dyDescent="0.25">
      <c r="A9" s="35" t="s">
        <v>207</v>
      </c>
    </row>
    <row r="10" spans="1:2" x14ac:dyDescent="0.25">
      <c r="A10" s="35" t="s">
        <v>230</v>
      </c>
    </row>
    <row r="11" spans="1:2" x14ac:dyDescent="0.25">
      <c r="A11" s="35" t="s">
        <v>199</v>
      </c>
    </row>
    <row r="12" spans="1:2" x14ac:dyDescent="0.25">
      <c r="A12" s="35" t="s">
        <v>319</v>
      </c>
    </row>
    <row r="13" spans="1:2" x14ac:dyDescent="0.25">
      <c r="A13" s="35" t="s">
        <v>222</v>
      </c>
    </row>
    <row r="14" spans="1:2" x14ac:dyDescent="0.25">
      <c r="A14" s="35" t="s">
        <v>359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69DC-7B32-4F44-ABD3-9C7A148A7188}">
  <dimension ref="A1:B26"/>
  <sheetViews>
    <sheetView workbookViewId="0">
      <selection activeCell="A4" sqref="A4"/>
      <pivotSelection pane="bottomRight" showHeader="1" extendable="1" axis="axisRow" max="23" activeRow="3" previousRow="3" click="1" r:id="rId1">
        <pivotArea dataOnly="0" fieldPosition="0">
          <references count="1">
            <reference field="0" count="1">
              <x v="7"/>
            </reference>
          </references>
        </pivotArea>
      </pivotSelection>
    </sheetView>
  </sheetViews>
  <sheetFormatPr defaultRowHeight="15" x14ac:dyDescent="0.25"/>
  <cols>
    <col min="1" max="1" width="72.28515625" bestFit="1" customWidth="1"/>
    <col min="2" max="2" width="6.28515625" bestFit="1" customWidth="1"/>
  </cols>
  <sheetData>
    <row r="1" spans="1:2" x14ac:dyDescent="0.25">
      <c r="A1" s="34" t="s">
        <v>338</v>
      </c>
      <c r="B1" t="s">
        <v>371</v>
      </c>
    </row>
    <row r="3" spans="1:2" x14ac:dyDescent="0.25">
      <c r="A3" s="34" t="s">
        <v>354</v>
      </c>
    </row>
    <row r="4" spans="1:2" x14ac:dyDescent="0.25">
      <c r="A4" s="35" t="s">
        <v>38</v>
      </c>
    </row>
    <row r="5" spans="1:2" x14ac:dyDescent="0.25">
      <c r="A5" s="35" t="s">
        <v>210</v>
      </c>
    </row>
    <row r="6" spans="1:2" x14ac:dyDescent="0.25">
      <c r="A6" s="35" t="s">
        <v>47</v>
      </c>
    </row>
    <row r="7" spans="1:2" x14ac:dyDescent="0.25">
      <c r="A7" s="35" t="s">
        <v>228</v>
      </c>
    </row>
    <row r="8" spans="1:2" x14ac:dyDescent="0.25">
      <c r="A8" s="35" t="s">
        <v>56</v>
      </c>
    </row>
    <row r="9" spans="1:2" x14ac:dyDescent="0.25">
      <c r="A9" s="35" t="s">
        <v>207</v>
      </c>
    </row>
    <row r="10" spans="1:2" x14ac:dyDescent="0.25">
      <c r="A10" s="35" t="s">
        <v>246</v>
      </c>
    </row>
    <row r="11" spans="1:2" x14ac:dyDescent="0.25">
      <c r="A11" s="35" t="s">
        <v>121</v>
      </c>
    </row>
    <row r="12" spans="1:2" x14ac:dyDescent="0.25">
      <c r="A12" s="35" t="s">
        <v>230</v>
      </c>
    </row>
    <row r="13" spans="1:2" x14ac:dyDescent="0.25">
      <c r="A13" s="35" t="s">
        <v>103</v>
      </c>
    </row>
    <row r="14" spans="1:2" x14ac:dyDescent="0.25">
      <c r="A14" s="35" t="s">
        <v>254</v>
      </c>
    </row>
    <row r="15" spans="1:2" x14ac:dyDescent="0.25">
      <c r="A15" s="35" t="s">
        <v>86</v>
      </c>
    </row>
    <row r="16" spans="1:2" x14ac:dyDescent="0.25">
      <c r="A16" s="35" t="s">
        <v>63</v>
      </c>
    </row>
    <row r="17" spans="1:1" x14ac:dyDescent="0.25">
      <c r="A17" s="35" t="s">
        <v>50</v>
      </c>
    </row>
    <row r="18" spans="1:1" x14ac:dyDescent="0.25">
      <c r="A18" s="35" t="s">
        <v>35</v>
      </c>
    </row>
    <row r="19" spans="1:1" x14ac:dyDescent="0.25">
      <c r="A19" s="35" t="s">
        <v>109</v>
      </c>
    </row>
    <row r="20" spans="1:1" x14ac:dyDescent="0.25">
      <c r="A20" s="35" t="s">
        <v>244</v>
      </c>
    </row>
    <row r="21" spans="1:1" x14ac:dyDescent="0.25">
      <c r="A21" s="35" t="s">
        <v>187</v>
      </c>
    </row>
    <row r="22" spans="1:1" x14ac:dyDescent="0.25">
      <c r="A22" s="35" t="s">
        <v>60</v>
      </c>
    </row>
    <row r="23" spans="1:1" x14ac:dyDescent="0.25">
      <c r="A23" s="35" t="s">
        <v>319</v>
      </c>
    </row>
    <row r="24" spans="1:1" x14ac:dyDescent="0.25">
      <c r="A24" s="35" t="s">
        <v>222</v>
      </c>
    </row>
    <row r="25" spans="1:1" x14ac:dyDescent="0.25">
      <c r="A25" s="35" t="s">
        <v>225</v>
      </c>
    </row>
    <row r="26" spans="1:1" x14ac:dyDescent="0.25">
      <c r="A26" s="35" t="s">
        <v>359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9906-8320-42D9-96A4-3BAE93B4C794}">
  <dimension ref="A1:B11"/>
  <sheetViews>
    <sheetView workbookViewId="0">
      <selection activeCell="A3" sqref="A3"/>
    </sheetView>
  </sheetViews>
  <sheetFormatPr defaultRowHeight="15" x14ac:dyDescent="0.25"/>
  <cols>
    <col min="1" max="1" width="71.7109375" bestFit="1" customWidth="1"/>
    <col min="2" max="2" width="6.28515625" bestFit="1" customWidth="1"/>
  </cols>
  <sheetData>
    <row r="1" spans="1:2" x14ac:dyDescent="0.25">
      <c r="A1" s="34" t="s">
        <v>339</v>
      </c>
      <c r="B1" t="s">
        <v>371</v>
      </c>
    </row>
    <row r="3" spans="1:2" x14ac:dyDescent="0.25">
      <c r="A3" s="34" t="s">
        <v>354</v>
      </c>
    </row>
    <row r="4" spans="1:2" x14ac:dyDescent="0.25">
      <c r="A4" s="35" t="s">
        <v>96</v>
      </c>
    </row>
    <row r="5" spans="1:2" x14ac:dyDescent="0.25">
      <c r="A5" s="35" t="s">
        <v>26</v>
      </c>
    </row>
    <row r="6" spans="1:2" x14ac:dyDescent="0.25">
      <c r="A6" s="35" t="s">
        <v>71</v>
      </c>
    </row>
    <row r="7" spans="1:2" x14ac:dyDescent="0.25">
      <c r="A7" s="35" t="s">
        <v>115</v>
      </c>
    </row>
    <row r="8" spans="1:2" x14ac:dyDescent="0.25">
      <c r="A8" s="35" t="s">
        <v>82</v>
      </c>
    </row>
    <row r="9" spans="1:2" x14ac:dyDescent="0.25">
      <c r="A9" s="35" t="s">
        <v>10</v>
      </c>
    </row>
    <row r="10" spans="1:2" x14ac:dyDescent="0.25">
      <c r="A10" s="35" t="s">
        <v>123</v>
      </c>
    </row>
    <row r="11" spans="1:2" x14ac:dyDescent="0.25">
      <c r="A11" s="35" t="s">
        <v>359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31C82-3C6A-47FF-B5B4-AE98C75D84DC}">
  <dimension ref="A1"/>
  <sheetViews>
    <sheetView zoomScale="69" zoomScaleNormal="69" workbookViewId="0">
      <selection activeCell="AD39" sqref="AD39"/>
    </sheetView>
  </sheetViews>
  <sheetFormatPr defaultRowHeight="15" x14ac:dyDescent="0.25"/>
  <cols>
    <col min="1" max="16384" width="9.14062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F79D-9495-4051-BCD0-5527050616C0}">
  <dimension ref="A1:B9"/>
  <sheetViews>
    <sheetView workbookViewId="0">
      <selection activeCell="A3" sqref="A3"/>
    </sheetView>
  </sheetViews>
  <sheetFormatPr defaultRowHeight="15" x14ac:dyDescent="0.25"/>
  <cols>
    <col min="1" max="1" width="51.5703125" bestFit="1" customWidth="1"/>
    <col min="2" max="2" width="6.28515625" bestFit="1" customWidth="1"/>
  </cols>
  <sheetData>
    <row r="1" spans="1:2" x14ac:dyDescent="0.25">
      <c r="A1" s="34" t="s">
        <v>340</v>
      </c>
      <c r="B1" t="s">
        <v>371</v>
      </c>
    </row>
    <row r="3" spans="1:2" x14ac:dyDescent="0.25">
      <c r="A3" s="34" t="s">
        <v>354</v>
      </c>
    </row>
    <row r="4" spans="1:2" x14ac:dyDescent="0.25">
      <c r="A4" s="35" t="s">
        <v>44</v>
      </c>
    </row>
    <row r="5" spans="1:2" x14ac:dyDescent="0.25">
      <c r="A5" s="35" t="s">
        <v>30</v>
      </c>
    </row>
    <row r="6" spans="1:2" x14ac:dyDescent="0.25">
      <c r="A6" s="35" t="s">
        <v>68</v>
      </c>
    </row>
    <row r="7" spans="1:2" x14ac:dyDescent="0.25">
      <c r="A7" s="35" t="s">
        <v>90</v>
      </c>
    </row>
    <row r="8" spans="1:2" x14ac:dyDescent="0.25">
      <c r="A8" s="35" t="s">
        <v>14</v>
      </c>
    </row>
    <row r="9" spans="1:2" x14ac:dyDescent="0.25">
      <c r="A9" s="35" t="s">
        <v>359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09A9BE-3B53-4E8E-BB69-80A52EF7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Raw_data</vt:lpstr>
      <vt:lpstr>Cleaned_data</vt:lpstr>
      <vt:lpstr>Analysis</vt:lpstr>
      <vt:lpstr>Data Dictionary</vt:lpstr>
      <vt:lpstr>Rating mix</vt:lpstr>
      <vt:lpstr>Discount mix</vt:lpstr>
      <vt:lpstr>Price vs Rating</vt:lpstr>
      <vt:lpstr>Customer Engagement by discount</vt:lpstr>
      <vt:lpstr>Top 10 Products by Rating</vt:lpstr>
      <vt:lpstr>Bottom 10 Products by Rating</vt:lpstr>
      <vt:lpstr>Top 10 Products by Reviews</vt:lpstr>
      <vt:lpstr>Top 10 by Products by Discount</vt:lpstr>
      <vt:lpstr>High Discounts+Low Ratings</vt:lpstr>
      <vt:lpstr>High Discounts + Low Engagement</vt:lpstr>
      <vt:lpstr>Many reviews + Avg Rating</vt:lpstr>
      <vt:lpstr>Dashboard</vt:lpstr>
      <vt:lpstr>Strong Eng + Excellent Rating</vt:lpstr>
      <vt:lpstr>Price_Q1</vt:lpstr>
      <vt:lpstr>Price_Q3</vt:lpstr>
      <vt:lpstr>Review_Q1</vt:lpstr>
      <vt:lpstr>Review_Q3</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Stacy Mumbi</dc:creator>
  <cp:lastModifiedBy>Stacy Mumbi</cp:lastModifiedBy>
  <dcterms:created xsi:type="dcterms:W3CDTF">2026-08-27T11:25:51Z</dcterms:created>
  <dcterms:modified xsi:type="dcterms:W3CDTF">2026-09-04T17:26:13Z</dcterms:modified>
</cp:coreProperties>
</file>